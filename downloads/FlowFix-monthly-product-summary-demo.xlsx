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704b16612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a08339fd6fd4aa1"/>
    <x:sheet xmlns:r="http://schemas.openxmlformats.org/officeDocument/2006/relationships" name="销售明细" sheetId="2" r:id="R7b300e3f852248a4"/>
    <x:sheet xmlns:r="http://schemas.openxmlformats.org/officeDocument/2006/relationships" name="商品映射" sheetId="3" r:id="R1f369934db504a99"/>
    <x:sheet xmlns:r="http://schemas.openxmlformats.org/officeDocument/2006/relationships" name="月度汇总" sheetId="4" r:id="Rac372b61b1af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¥#,##0.00"/>
    <x:numFmt numFmtId="203" formatCode="#,##0.00"/>
    <x:numFmt numFmtId="204" formatCode="0.0%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231D"/>
      <x:name val="Carlito"/>
    </x:font>
    <x:font>
      <x:sz val="11"/>
      <x:color rgb="FF17231D"/>
      <x:name val="Carlito"/>
    </x:font>
    <x:font>
      <x:b/>
      <x:sz val="11"/>
      <x:color rgb="FFFFFFFF"/>
      <x:name val="Carlito"/>
    </x:font>
    <x:font>
      <x:sz val="9"/>
      <x:color rgb="FF5F6D65"/>
      <x:name val="Carlito"/>
    </x:font>
    <x:font>
      <x:b/>
      <x:sz val="11"/>
      <x:color rgb="FF5F6D65"/>
      <x:name val="Carlito"/>
    </x:font>
    <x:font>
      <x:b/>
      <x:sz val="18"/>
      <x:color rgb="FF17231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6B4A"/>
      </x:patternFill>
    </x:fill>
    <x:fill>
      <x:patternFill patternType="solid">
        <x:fgColor rgb="FFE9F3ED"/>
      </x:patternFill>
    </x:fill>
    <x:fill>
      <x:patternFill patternType="solid">
        <x:fgColor rgb="FFFFFDF8"/>
      </x:patternFill>
    </x:fill>
    <x:fill>
      <x:patternFill patternType="solid">
        <x:fgColor rgb="FFF1F3F2"/>
      </x:patternFill>
    </x:fill>
  </x:fills>
  <x:borders count="10">
    <x:border/>
    <x:border>
      <x:left style="thin">
        <x:color rgb="FFD9E2DC"/>
      </x:left>
      <x:top style="thin">
        <x:color rgb="FFD9E2DC"/>
      </x:top>
      <x:bottom style="thin">
        <x:color rgb="FFD9E2DC"/>
      </x:bottom>
    </x:border>
    <x:border>
      <x:right style="thin">
        <x:color rgb="FFD9E2DC"/>
      </x:right>
      <x:top style="thin">
        <x:color rgb="FFD9E2DC"/>
      </x:top>
      <x:bottom style="thin">
        <x:color rgb="FFD9E2DC"/>
      </x:bottom>
    </x:border>
    <x:border>
      <x:top style="thin">
        <x:color rgb="FFD9E2DC"/>
      </x:top>
      <x:bottom style="thin">
        <x:color rgb="FFD9E2DC"/>
      </x:bottom>
    </x:border>
    <x:border>
      <x:bottom style="thin">
        <x:color rgb="FFD9E2DC"/>
      </x:bottom>
    </x:border>
    <x:border>
      <x:top style="thin">
        <x:color rgb="FFD9E2DC"/>
      </x:top>
    </x:border>
    <x:border>
      <x:left style="thin">
        <x:color rgb="FFD9E2DC"/>
      </x:left>
      <x:top style="thin">
        <x:color rgb="FFD9E2DC"/>
      </x:top>
    </x:border>
    <x:border>
      <x:right style="thin">
        <x:color rgb="FFD9E2DC"/>
      </x:right>
      <x:top style="thin">
        <x:color rgb="FFD9E2DC"/>
      </x:top>
    </x:border>
    <x:border>
      <x:left style="thin">
        <x:color rgb="FFD9E2DC"/>
      </x:left>
      <x:bottom style="thin">
        <x:color rgb="FFD9E2DC"/>
      </x:bottom>
    </x:border>
    <x:border>
      <x:right style="thin">
        <x:color rgb="FFD9E2DC"/>
      </x:right>
      <x:bottom style="thin">
        <x:color rgb="FFD9E2DC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2" borderId="4" xfId="0" applyNumberFormat="1" applyFont="1" applyFill="1" applyBorder="1"/>
    <x:xf numFmtId="0" fontId="0" fillId="4" borderId="3" xfId="0" applyNumberFormat="1" applyFont="1" applyFill="1" applyBorder="1"/>
    <x:xf numFmtId="0" fontId="0" fillId="0" borderId="3" xfId="0" applyNumberFormat="1" applyFont="1" applyFill="1" applyBorder="1"/>
    <x:xf numFmtId="0" fontId="0" fillId="4" borderId="5" xfId="0" applyNumberFormat="1" applyFont="1" applyFill="1" applyBorder="1"/>
    <x:xf numFmtId="0" fontId="0" fillId="0" borderId="5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2" fontId="0" fillId="3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3" fontId="5" fillId="5" borderId="0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200" fontId="0" fillId="4" borderId="3" xfId="0" applyNumberFormat="1" applyFont="1" applyFill="1" applyBorder="1"/>
    <x:xf numFmtId="0" fontId="0" fillId="3" borderId="3" xfId="0" applyNumberFormat="1" applyFont="1" applyFill="1" applyBorder="1"/>
    <x:xf numFmtId="201" fontId="0" fillId="4" borderId="3" xfId="0" applyNumberFormat="1" applyFont="1" applyFill="1" applyBorder="1"/>
    <x:xf numFmtId="202" fontId="0" fillId="4" borderId="3" xfId="0" applyNumberFormat="1" applyFont="1" applyFill="1" applyBorder="1"/>
    <x:xf numFmtId="202" fontId="0" fillId="3" borderId="3" xfId="0" applyNumberFormat="1" applyFont="1" applyFill="1" applyBorder="1"/>
    <x:xf numFmtId="200" fontId="0" fillId="4" borderId="5" xfId="0" applyNumberFormat="1" applyFont="1" applyFill="1" applyBorder="1"/>
    <x:xf numFmtId="0" fontId="0" fillId="3" borderId="5" xfId="0" applyNumberFormat="1" applyFont="1" applyFill="1" applyBorder="1"/>
    <x:xf numFmtId="201" fontId="0" fillId="4" borderId="5" xfId="0" applyNumberFormat="1" applyFont="1" applyFill="1" applyBorder="1"/>
    <x:xf numFmtId="202" fontId="0" fillId="4" borderId="5" xfId="0" applyNumberFormat="1" applyFont="1" applyFill="1" applyBorder="1"/>
    <x:xf numFmtId="202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202" fontId="7" fillId="3" borderId="8" xfId="0" applyNumberFormat="1" applyFont="1" applyFill="1" applyBorder="1"/>
    <x:xf numFmtId="202" fontId="7" fillId="3" borderId="9" xfId="0" applyNumberFormat="1" applyFont="1" applyFill="1" applyBorder="1"/>
    <x:xf numFmtId="0" fontId="0" fillId="0" borderId="4" xfId="0" applyNumberFormat="1" applyFont="1" applyFill="1" applyBorder="1"/>
    <x:xf numFmtId="201" fontId="0" fillId="0" borderId="4" xfId="0" applyNumberFormat="1" applyFont="1" applyFill="1" applyBorder="1"/>
    <x:xf numFmtId="201" fontId="0" fillId="0" borderId="3" xfId="0" applyNumberFormat="1" applyFont="1" applyFill="1" applyBorder="1"/>
    <x:xf numFmtId="202" fontId="0" fillId="0" borderId="4" xfId="0" applyNumberFormat="1" applyFont="1" applyFill="1" applyBorder="1"/>
    <x:xf numFmtId="202" fontId="0" fillId="0" borderId="3" xfId="0" applyNumberFormat="1" applyFont="1" applyFill="1" applyBorder="1"/>
    <x:xf numFmtId="204" fontId="0" fillId="0" borderId="4" xfId="0" applyNumberFormat="1" applyFont="1" applyFill="1" applyBorder="1"/>
    <x:xf numFmtId="204" fontId="0" fillId="0" borderId="3" xfId="0" applyNumberFormat="1" applyFont="1" applyFill="1" applyBorder="1"/>
    <x:xf numFmtId="202" fontId="5" fillId="5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A4D00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cee659fdd4b99" /><Relationship Type="http://schemas.openxmlformats.org/officeDocument/2006/relationships/theme" Target="/xl/theme/theme1.xml" Id="R1f4d5172ece346e2" /><Relationship Type="http://schemas.openxmlformats.org/officeDocument/2006/relationships/sharedStrings" Target="/xl/sharedStrings.xml" Id="R08c49de4168c4cb0" /><Relationship Type="http://schemas.openxmlformats.org/officeDocument/2006/relationships/worksheet" Target="/xl/worksheets/sheet1.xml" Id="R6a08339fd6fd4aa1" /><Relationship Type="http://schemas.openxmlformats.org/officeDocument/2006/relationships/worksheet" Target="/xl/worksheets/sheet2.xml" Id="R7b300e3f852248a4" /><Relationship Type="http://schemas.openxmlformats.org/officeDocument/2006/relationships/worksheet" Target="/xl/worksheets/sheet3.xml" Id="R1f369934db504a99" /><Relationship Type="http://schemas.openxmlformats.org/officeDocument/2006/relationships/worksheet" Target="/xl/worksheets/sheet4.xml" Id="Rac372b61b1af4e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7770e01c1b42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各商品销售额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销售额</c:v>
          </c:tx>
          <c:cat>
            <c:strRef>
              <c:f>'月度汇总'!$G$9:$G$12</c:f>
              <c:strCache>
                <c:ptCount val="0"/>
              </c:strCache>
            </c:strRef>
          </c:cat>
          <c:val>
            <c:numRef>
              <c:f>'月度汇总'!$H$9:$H$12</c:f>
              <c:numCache>
                <c:formatCode>¥#,##0.00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7770e01c1b42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SalesDetailTable" displayName="SalesDetailTable" ref="A1:H13" headerRowCount="1" totalsRowCount="0" totalsRowShown="0">
  <x:tableColumns count="8">
    <x:tableColumn id="1" name="日期"/>
    <x:tableColumn id="2" name="原始商品名"/>
    <x:tableColumn id="3" name="标准商品名"/>
    <x:tableColumn id="4" name="销售数量"/>
    <x:tableColumn id="5" name="单价"/>
    <x:tableColumn id="6" name="订单号"/>
    <x:tableColumn id="7" name="销售金额"/>
    <x:tableColumn id="8" name="异常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ductMappingTable" displayName="ProductMappingTable" ref="A1:C8" headerRowCount="1" totalsRowCount="0" totalsRowShown="0">
  <x:tableColumns count="3">
    <x:tableColumn id="1" name="原始商品名"/>
    <x:tableColumn id="2" name="标准商品名"/>
    <x:tableColumn id="3" name="维护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b550ea0d3d43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61255a30814b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eaced58d4034e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2" hidden="0" customWidth="1"/>
  </x:cols>
  <x:sheetData>
    <x:row r="1" ht="32" customHeight="1">
      <x:c r="A1" s="3" t="str">
        <x:v>FlowFix｜月度商品对比与销售汇总模板</x:v>
      </x:c>
      <x:c r="B1" s="3"/>
      <x:c r="C1" s="3"/>
      <x:c r="D1" s="3"/>
      <x:c r="E1" s="3"/>
      <x:c r="F1" s="3"/>
      <x:c r="G1" s="3"/>
      <x:c r="H1" s="3"/>
    </x:row>
    <x:row r="2" ht="32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/>
    <x:row r="4" ht="24" customHeight="1">
      <x:c r="A4" s="6" t="str">
        <x:v>使用步骤</x:v>
      </x:c>
      <x:c r="B4" s="10" t="str">
        <x:v>说明</x:v>
      </x:c>
    </x:row>
    <x:row r="5" ht="24" customHeight="1">
      <x:c r="A5" s="11" t="str">
        <x:v>1</x:v>
      </x:c>
      <x:c r="B5" s="12" t="str">
        <x:v>在“商品映射”维护不同商品写法与标准名称</x:v>
      </x:c>
    </x:row>
    <x:row r="6" ht="24" customHeight="1">
      <x:c r="A6" s="11" t="str">
        <x:v>2</x:v>
      </x:c>
      <x:c r="B6" s="12" t="str">
        <x:v>在“销售明细”粘贴日期、商品名、数量、单价和订单号</x:v>
      </x:c>
    </x:row>
    <x:row r="7" ht="24" customHeight="1">
      <x:c r="A7" s="11" t="str">
        <x:v>3</x:v>
      </x:c>
      <x:c r="B7" s="12" t="str">
        <x:v>标准商品名、销售金额和异常提示由公式生成</x:v>
      </x:c>
    </x:row>
    <x:row r="8" ht="24" customHeight="1">
      <x:c r="A8" s="11" t="str">
        <x:v>4</x:v>
      </x:c>
      <x:c r="B8" s="12" t="str">
        <x:v>查看“月度汇总”的销量、销售额和价格区间</x:v>
      </x:c>
    </x:row>
    <x:row r="9" ht="24" customHeight="1">
      <x:c r="A9" s="11" t="str">
        <x:v>5</x:v>
      </x:c>
      <x:c r="B9" s="12" t="str">
        <x:v>先处理异常提示，再对外提交或用于经营决策</x:v>
      </x:c>
    </x:row>
    <x:row r="10" ht="24" customHeight="1">
      <x:c r="A10" s="11" t="str">
        <x:v>数据声明</x:v>
      </x:c>
      <x:c r="B10" s="12" t="str">
        <x:v>当前内容为合成演示，不代表真实客户、订单或收入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2" hidden="0" customWidth="1"/>
    <x:col min="5" max="5" width="13" hidden="0" customWidth="1"/>
    <x:col min="6" max="6" width="15" hidden="0" customWidth="1"/>
    <x:col min="7" max="7" width="15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31" t="str">
        <x:v>日期</x:v>
      </x:c>
      <x:c r="B1" s="31" t="str">
        <x:v>原始商品名</x:v>
      </x:c>
      <x:c r="C1" s="31" t="str">
        <x:v>标准商品名</x:v>
      </x:c>
      <x:c r="D1" s="31" t="str">
        <x:v>销售数量</x:v>
      </x:c>
      <x:c r="E1" s="31" t="str">
        <x:v>单价</x:v>
      </x:c>
      <x:c r="F1" s="31" t="str">
        <x:v>订单号</x:v>
      </x:c>
      <x:c r="G1" s="31" t="str">
        <x:v>销售金额</x:v>
      </x:c>
      <x:c r="H1" s="31" t="str">
        <x:v>异常提示</x:v>
      </x:c>
      <x:c r="I1" s="29" t="str">
        <x:v>有效数量(计算)</x:v>
      </x:c>
      <x:c r="J1" s="29" t="str">
        <x:v>有效金额(计算)</x:v>
      </x:c>
      <x:c r="K1" s="29" t="str">
        <x:v>异常标志(计算)</x:v>
      </x:c>
    </x:row>
    <x:row r="2">
      <x:c r="A2" s="32" t="n">
        <x:v>46235</x:v>
      </x:c>
      <x:c r="B2" s="16" t="str">
        <x:v>柠檬茶500ml</x:v>
      </x:c>
      <x:c r="C2" s="33" t="str">
        <x:f>IFERROR(VLOOKUP(B2,'商品映射'!$A$2:$B$50,2,FALSE),"待补映射")</x:f>
        <x:v>柠檬茶</x:v>
      </x:c>
      <x:c r="D2" s="34" t="n">
        <x:v>3</x:v>
      </x:c>
      <x:c r="E2" s="35" t="n">
        <x:v>12</x:v>
      </x:c>
      <x:c r="F2" s="16" t="str">
        <x:v>D-001</x:v>
      </x:c>
      <x:c r="G2" s="36" t="n">
        <x:f>IF(OR(D2&lt;=0,E2&lt;=0),0,D2*E2)</x:f>
        <x:v>36</x:v>
      </x:c>
      <x:c r="H2" s="33" t="str">
        <x:f>IF(B2="","",IF(C2="待补映射","未匹配商品",IF(D2&lt;=0,"数量异常",IF(E2&lt;=0,"单价异常",IF(COUNTIF($F$2:F2,F2)&gt;1,"订单号重复","")))))</x:f>
      </x:c>
      <x:c r="I2" s="30" t="n">
        <x:f>IF(OR(B2="",H2&lt;&gt;""),0,D2)</x:f>
        <x:v>3</x:v>
      </x:c>
      <x:c r="J2" s="30" t="n">
        <x:f>IF(OR(B2="",H2&lt;&gt;""),0,G2)</x:f>
        <x:v>36</x:v>
      </x:c>
      <x:c r="K2" s="29" t="n">
        <x:f>IF(B2="",0,IF(H2="",0,1))</x:f>
        <x:v>0</x:v>
      </x:c>
    </x:row>
    <x:row r="3">
      <x:c r="A3" s="32" t="n">
        <x:v>46236</x:v>
      </x:c>
      <x:c r="B3" s="16" t="str">
        <x:v>柠檬茶-大杯</x:v>
      </x:c>
      <x:c r="C3" s="33" t="str">
        <x:f>IFERROR(VLOOKUP(B3,'商品映射'!$A$2:$B$50,2,FALSE),"待补映射")</x:f>
        <x:v>柠檬茶</x:v>
      </x:c>
      <x:c r="D3" s="34" t="n">
        <x:v>2</x:v>
      </x:c>
      <x:c r="E3" s="35" t="n">
        <x:v>15</x:v>
      </x:c>
      <x:c r="F3" s="16" t="str">
        <x:v>D-002</x:v>
      </x:c>
      <x:c r="G3" s="36" t="n">
        <x:f>IF(OR(D3&lt;=0,E3&lt;=0),0,D3*E3)</x:f>
        <x:v>30</x:v>
      </x:c>
      <x:c r="H3" s="33" t="str">
        <x:f>IF(B3="","",IF(C3="待补映射","未匹配商品",IF(D3&lt;=0,"数量异常",IF(E3&lt;=0,"单价异常",IF(COUNTIF($F$2:F3,F3)&gt;1,"订单号重复","")))))</x:f>
      </x:c>
      <x:c r="I3" s="30" t="n">
        <x:f>IF(OR(B3="",H3&lt;&gt;""),0,D3)</x:f>
        <x:v>2</x:v>
      </x:c>
      <x:c r="J3" s="30" t="n">
        <x:f>IF(OR(B3="",H3&lt;&gt;""),0,G3)</x:f>
        <x:v>30</x:v>
      </x:c>
      <x:c r="K3" s="29" t="n">
        <x:f>IF(B3="",0,IF(H3="",0,1))</x:f>
        <x:v>0</x:v>
      </x:c>
    </x:row>
    <x:row r="4">
      <x:c r="A4" s="32" t="n">
        <x:v>46237</x:v>
      </x:c>
      <x:c r="B4" s="16" t="str">
        <x:v>乌龙茶500ml</x:v>
      </x:c>
      <x:c r="C4" s="33" t="str">
        <x:f>IFERROR(VLOOKUP(B4,'商品映射'!$A$2:$B$50,2,FALSE),"待补映射")</x:f>
        <x:v>乌龙茶</x:v>
      </x:c>
      <x:c r="D4" s="34" t="n">
        <x:v>4</x:v>
      </x:c>
      <x:c r="E4" s="35" t="n">
        <x:v>10</x:v>
      </x:c>
      <x:c r="F4" s="16" t="str">
        <x:v>D-003</x:v>
      </x:c>
      <x:c r="G4" s="36" t="n">
        <x:f>IF(OR(D4&lt;=0,E4&lt;=0),0,D4*E4)</x:f>
        <x:v>40</x:v>
      </x:c>
      <x:c r="H4" s="33" t="str">
        <x:f>IF(B4="","",IF(C4="待补映射","未匹配商品",IF(D4&lt;=0,"数量异常",IF(E4&lt;=0,"单价异常",IF(COUNTIF($F$2:F4,F4)&gt;1,"订单号重复","")))))</x:f>
      </x:c>
      <x:c r="I4" s="30" t="n">
        <x:f>IF(OR(B4="",H4&lt;&gt;""),0,D4)</x:f>
        <x:v>4</x:v>
      </x:c>
      <x:c r="J4" s="30" t="n">
        <x:f>IF(OR(B4="",H4&lt;&gt;""),0,G4)</x:f>
        <x:v>40</x:v>
      </x:c>
      <x:c r="K4" s="29" t="n">
        <x:f>IF(B4="",0,IF(H4="",0,1))</x:f>
        <x:v>0</x:v>
      </x:c>
    </x:row>
    <x:row r="5">
      <x:c r="A5" s="32" t="n">
        <x:v>46238</x:v>
      </x:c>
      <x:c r="B5" s="16" t="str">
        <x:v>乌龙茶 大杯</x:v>
      </x:c>
      <x:c r="C5" s="33" t="str">
        <x:f>IFERROR(VLOOKUP(B5,'商品映射'!$A$2:$B$50,2,FALSE),"待补映射")</x:f>
        <x:v>乌龙茶</x:v>
      </x:c>
      <x:c r="D5" s="34" t="n">
        <x:v>1</x:v>
      </x:c>
      <x:c r="E5" s="35" t="n">
        <x:v>13</x:v>
      </x:c>
      <x:c r="F5" s="16" t="str">
        <x:v>D-004</x:v>
      </x:c>
      <x:c r="G5" s="36" t="n">
        <x:f>IF(OR(D5&lt;=0,E5&lt;=0),0,D5*E5)</x:f>
        <x:v>13</x:v>
      </x:c>
      <x:c r="H5" s="33" t="str">
        <x:f>IF(B5="","",IF(C5="待补映射","未匹配商品",IF(D5&lt;=0,"数量异常",IF(E5&lt;=0,"单价异常",IF(COUNTIF($F$2:F5,F5)&gt;1,"订单号重复","")))))</x:f>
      </x:c>
      <x:c r="I5" s="30" t="n">
        <x:f>IF(OR(B5="",H5&lt;&gt;""),0,D5)</x:f>
        <x:v>1</x:v>
      </x:c>
      <x:c r="J5" s="30" t="n">
        <x:f>IF(OR(B5="",H5&lt;&gt;""),0,G5)</x:f>
        <x:v>13</x:v>
      </x:c>
      <x:c r="K5" s="29" t="n">
        <x:f>IF(B5="",0,IF(H5="",0,1))</x:f>
        <x:v>0</x:v>
      </x:c>
    </x:row>
    <x:row r="6">
      <x:c r="A6" s="32" t="n">
        <x:v>46239</x:v>
      </x:c>
      <x:c r="B6" s="16" t="str">
        <x:v>美式咖啡</x:v>
      </x:c>
      <x:c r="C6" s="33" t="str">
        <x:f>IFERROR(VLOOKUP(B6,'商品映射'!$A$2:$B$50,2,FALSE),"待补映射")</x:f>
        <x:v>美式咖啡</x:v>
      </x:c>
      <x:c r="D6" s="34" t="n">
        <x:v>2</x:v>
      </x:c>
      <x:c r="E6" s="35" t="n">
        <x:v>16</x:v>
      </x:c>
      <x:c r="F6" s="16" t="str">
        <x:v>D-005</x:v>
      </x:c>
      <x:c r="G6" s="36" t="n">
        <x:f>IF(OR(D6&lt;=0,E6&lt;=0),0,D6*E6)</x:f>
        <x:v>32</x:v>
      </x:c>
      <x:c r="H6" s="33" t="str">
        <x:f>IF(B6="","",IF(C6="待补映射","未匹配商品",IF(D6&lt;=0,"数量异常",IF(E6&lt;=0,"单价异常",IF(COUNTIF($F$2:F6,F6)&gt;1,"订单号重复","")))))</x:f>
      </x:c>
      <x:c r="I6" s="30" t="n">
        <x:f>IF(OR(B6="",H6&lt;&gt;""),0,D6)</x:f>
        <x:v>2</x:v>
      </x:c>
      <x:c r="J6" s="30" t="n">
        <x:f>IF(OR(B6="",H6&lt;&gt;""),0,G6)</x:f>
        <x:v>32</x:v>
      </x:c>
      <x:c r="K6" s="29" t="n">
        <x:f>IF(B6="",0,IF(H6="",0,1))</x:f>
        <x:v>0</x:v>
      </x:c>
    </x:row>
    <x:row r="7">
      <x:c r="A7" s="32" t="n">
        <x:v>46240</x:v>
      </x:c>
      <x:c r="B7" s="16" t="str">
        <x:v>冰美式</x:v>
      </x:c>
      <x:c r="C7" s="33" t="str">
        <x:f>IFERROR(VLOOKUP(B7,'商品映射'!$A$2:$B$50,2,FALSE),"待补映射")</x:f>
        <x:v>美式咖啡</x:v>
      </x:c>
      <x:c r="D7" s="34" t="n">
        <x:v>3</x:v>
      </x:c>
      <x:c r="E7" s="35" t="n">
        <x:v>14</x:v>
      </x:c>
      <x:c r="F7" s="16" t="str">
        <x:v>D-006</x:v>
      </x:c>
      <x:c r="G7" s="36" t="n">
        <x:f>IF(OR(D7&lt;=0,E7&lt;=0),0,D7*E7)</x:f>
        <x:v>42</x:v>
      </x:c>
      <x:c r="H7" s="33" t="str">
        <x:f>IF(B7="","",IF(C7="待补映射","未匹配商品",IF(D7&lt;=0,"数量异常",IF(E7&lt;=0,"单价异常",IF(COUNTIF($F$2:F7,F7)&gt;1,"订单号重复","")))))</x:f>
      </x:c>
      <x:c r="I7" s="30" t="n">
        <x:f>IF(OR(B7="",H7&lt;&gt;""),0,D7)</x:f>
        <x:v>3</x:v>
      </x:c>
      <x:c r="J7" s="30" t="n">
        <x:f>IF(OR(B7="",H7&lt;&gt;""),0,G7)</x:f>
        <x:v>42</x:v>
      </x:c>
      <x:c r="K7" s="29" t="n">
        <x:f>IF(B7="",0,IF(H7="",0,1))</x:f>
        <x:v>0</x:v>
      </x:c>
    </x:row>
    <x:row r="8">
      <x:c r="A8" s="32" t="n">
        <x:v>46241</x:v>
      </x:c>
      <x:c r="B8" s="16" t="str">
        <x:v>拿铁</x:v>
      </x:c>
      <x:c r="C8" s="33" t="str">
        <x:f>IFERROR(VLOOKUP(B8,'商品映射'!$A$2:$B$50,2,FALSE),"待补映射")</x:f>
        <x:v>拿铁</x:v>
      </x:c>
      <x:c r="D8" s="34" t="n">
        <x:v>2</x:v>
      </x:c>
      <x:c r="E8" s="35" t="n">
        <x:v>20</x:v>
      </x:c>
      <x:c r="F8" s="16" t="str">
        <x:v>D-007</x:v>
      </x:c>
      <x:c r="G8" s="36" t="n">
        <x:f>IF(OR(D8&lt;=0,E8&lt;=0),0,D8*E8)</x:f>
        <x:v>40</x:v>
      </x:c>
      <x:c r="H8" s="33" t="str">
        <x:f>IF(B8="","",IF(C8="待补映射","未匹配商品",IF(D8&lt;=0,"数量异常",IF(E8&lt;=0,"单价异常",IF(COUNTIF($F$2:F8,F8)&gt;1,"订单号重复","")))))</x:f>
      </x:c>
      <x:c r="I8" s="30" t="n">
        <x:f>IF(OR(B8="",H8&lt;&gt;""),0,D8)</x:f>
        <x:v>2</x:v>
      </x:c>
      <x:c r="J8" s="30" t="n">
        <x:f>IF(OR(B8="",H8&lt;&gt;""),0,G8)</x:f>
        <x:v>40</x:v>
      </x:c>
      <x:c r="K8" s="29" t="n">
        <x:f>IF(B8="",0,IF(H8="",0,1))</x:f>
        <x:v>0</x:v>
      </x:c>
    </x:row>
    <x:row r="9">
      <x:c r="A9" s="32" t="n">
        <x:v>46242</x:v>
      </x:c>
      <x:c r="B9" s="16" t="str">
        <x:v>柠檬茶500ml</x:v>
      </x:c>
      <x:c r="C9" s="33" t="str">
        <x:f>IFERROR(VLOOKUP(B9,'商品映射'!$A$2:$B$50,2,FALSE),"待补映射")</x:f>
        <x:v>柠檬茶</x:v>
      </x:c>
      <x:c r="D9" s="34" t="n">
        <x:v>5</x:v>
      </x:c>
      <x:c r="E9" s="35" t="n">
        <x:v>12</x:v>
      </x:c>
      <x:c r="F9" s="16" t="str">
        <x:v>D-008</x:v>
      </x:c>
      <x:c r="G9" s="36" t="n">
        <x:f>IF(OR(D9&lt;=0,E9&lt;=0),0,D9*E9)</x:f>
        <x:v>60</x:v>
      </x:c>
      <x:c r="H9" s="33" t="str">
        <x:f>IF(B9="","",IF(C9="待补映射","未匹配商品",IF(D9&lt;=0,"数量异常",IF(E9&lt;=0,"单价异常",IF(COUNTIF($F$2:F9,F9)&gt;1,"订单号重复","")))))</x:f>
      </x:c>
      <x:c r="I9" s="30" t="n">
        <x:f>IF(OR(B9="",H9&lt;&gt;""),0,D9)</x:f>
        <x:v>5</x:v>
      </x:c>
      <x:c r="J9" s="30" t="n">
        <x:f>IF(OR(B9="",H9&lt;&gt;""),0,G9)</x:f>
        <x:v>60</x:v>
      </x:c>
      <x:c r="K9" s="29" t="n">
        <x:f>IF(B9="",0,IF(H9="",0,1))</x:f>
        <x:v>0</x:v>
      </x:c>
    </x:row>
    <x:row r="10">
      <x:c r="A10" s="32" t="n">
        <x:v>46243</x:v>
      </x:c>
      <x:c r="B10" s="16" t="str">
        <x:v>新品未映射</x:v>
      </x:c>
      <x:c r="C10" s="33" t="str">
        <x:f>IFERROR(VLOOKUP(B10,'商品映射'!$A$2:$B$50,2,FALSE),"待补映射")</x:f>
        <x:v>待补映射</x:v>
      </x:c>
      <x:c r="D10" s="34" t="n">
        <x:v>2</x:v>
      </x:c>
      <x:c r="E10" s="35" t="n">
        <x:v>18</x:v>
      </x:c>
      <x:c r="F10" s="16" t="str">
        <x:v>D-009</x:v>
      </x:c>
      <x:c r="G10" s="36" t="n">
        <x:f>IF(OR(D10&lt;=0,E10&lt;=0),0,D10*E10)</x:f>
        <x:v>36</x:v>
      </x:c>
      <x:c r="H10" s="33" t="str">
        <x:f>IF(B10="","",IF(C10="待补映射","未匹配商品",IF(D10&lt;=0,"数量异常",IF(E10&lt;=0,"单价异常",IF(COUNTIF($F$2:F10,F10)&gt;1,"订单号重复","")))))</x:f>
        <x:v>未匹配商品</x:v>
      </x:c>
      <x:c r="I10" s="30" t="n">
        <x:f>IF(OR(B10="",H10&lt;&gt;""),0,D10)</x:f>
        <x:v>0</x:v>
      </x:c>
      <x:c r="J10" s="30" t="n">
        <x:f>IF(OR(B10="",H10&lt;&gt;""),0,G10)</x:f>
        <x:v>0</x:v>
      </x:c>
      <x:c r="K10" s="29" t="n">
        <x:f>IF(B10="",0,IF(H10="",0,1))</x:f>
        <x:v>1</x:v>
      </x:c>
    </x:row>
    <x:row r="11">
      <x:c r="A11" s="32" t="n">
        <x:v>46244</x:v>
      </x:c>
      <x:c r="B11" s="16" t="str">
        <x:v>拿铁</x:v>
      </x:c>
      <x:c r="C11" s="33" t="str">
        <x:f>IFERROR(VLOOKUP(B11,'商品映射'!$A$2:$B$50,2,FALSE),"待补映射")</x:f>
        <x:v>拿铁</x:v>
      </x:c>
      <x:c r="D11" s="34" t="n">
        <x:v>0</x:v>
      </x:c>
      <x:c r="E11" s="35" t="n">
        <x:v>20</x:v>
      </x:c>
      <x:c r="F11" s="16" t="str">
        <x:v>D-010</x:v>
      </x:c>
      <x:c r="G11" s="36" t="n">
        <x:f>IF(OR(D11&lt;=0,E11&lt;=0),0,D11*E11)</x:f>
        <x:v>0</x:v>
      </x:c>
      <x:c r="H11" s="33" t="str">
        <x:f>IF(B11="","",IF(C11="待补映射","未匹配商品",IF(D11&lt;=0,"数量异常",IF(E11&lt;=0,"单价异常",IF(COUNTIF($F$2:F11,F11)&gt;1,"订单号重复","")))))</x:f>
        <x:v>数量异常</x:v>
      </x:c>
      <x:c r="I11" s="30" t="n">
        <x:f>IF(OR(B11="",H11&lt;&gt;""),0,D11)</x:f>
        <x:v>0</x:v>
      </x:c>
      <x:c r="J11" s="30" t="n">
        <x:f>IF(OR(B11="",H11&lt;&gt;""),0,G11)</x:f>
        <x:v>0</x:v>
      </x:c>
      <x:c r="K11" s="29" t="n">
        <x:f>IF(B11="",0,IF(H11="",0,1))</x:f>
        <x:v>1</x:v>
      </x:c>
    </x:row>
    <x:row r="12">
      <x:c r="A12" s="32" t="n">
        <x:v>46245</x:v>
      </x:c>
      <x:c r="B12" s="16" t="str">
        <x:v>美式咖啡</x:v>
      </x:c>
      <x:c r="C12" s="33" t="str">
        <x:f>IFERROR(VLOOKUP(B12,'商品映射'!$A$2:$B$50,2,FALSE),"待补映射")</x:f>
        <x:v>美式咖啡</x:v>
      </x:c>
      <x:c r="D12" s="34" t="n">
        <x:v>1</x:v>
      </x:c>
      <x:c r="E12" s="35" t="n">
        <x:v>-1</x:v>
      </x:c>
      <x:c r="F12" s="16" t="str">
        <x:v>D-011</x:v>
      </x:c>
      <x:c r="G12" s="36" t="n">
        <x:f>IF(OR(D12&lt;=0,E12&lt;=0),0,D12*E12)</x:f>
        <x:v>0</x:v>
      </x:c>
      <x:c r="H12" s="33" t="str">
        <x:f>IF(B12="","",IF(C12="待补映射","未匹配商品",IF(D12&lt;=0,"数量异常",IF(E12&lt;=0,"单价异常",IF(COUNTIF($F$2:F12,F12)&gt;1,"订单号重复","")))))</x:f>
        <x:v>单价异常</x:v>
      </x:c>
      <x:c r="I12" s="30" t="n">
        <x:f>IF(OR(B12="",H12&lt;&gt;""),0,D12)</x:f>
        <x:v>0</x:v>
      </x:c>
      <x:c r="J12" s="30" t="n">
        <x:f>IF(OR(B12="",H12&lt;&gt;""),0,G12)</x:f>
        <x:v>0</x:v>
      </x:c>
      <x:c r="K12" s="29" t="n">
        <x:f>IF(B12="",0,IF(H12="",0,1))</x:f>
        <x:v>1</x:v>
      </x:c>
    </x:row>
    <x:row r="13">
      <x:c r="A13" s="32" t="n">
        <x:v>46246</x:v>
      </x:c>
      <x:c r="B13" s="16" t="str">
        <x:v>乌龙茶500ml</x:v>
      </x:c>
      <x:c r="C13" s="33" t="str">
        <x:f>IFERROR(VLOOKUP(B13,'商品映射'!$A$2:$B$50,2,FALSE),"待补映射")</x:f>
        <x:v>乌龙茶</x:v>
      </x:c>
      <x:c r="D13" s="34" t="n">
        <x:v>2</x:v>
      </x:c>
      <x:c r="E13" s="35" t="n">
        <x:v>10</x:v>
      </x:c>
      <x:c r="F13" s="16" t="str">
        <x:v>D-003</x:v>
      </x:c>
      <x:c r="G13" s="36" t="n">
        <x:f>IF(OR(D13&lt;=0,E13&lt;=0),0,D13*E13)</x:f>
        <x:v>20</x:v>
      </x:c>
      <x:c r="H13" s="33" t="str">
        <x:f>IF(B13="","",IF(C13="待补映射","未匹配商品",IF(D13&lt;=0,"数量异常",IF(E13&lt;=0,"单价异常",IF(COUNTIF($F$2:F13,F13)&gt;1,"订单号重复","")))))</x:f>
        <x:v>订单号重复</x:v>
      </x:c>
      <x:c r="I13" s="30" t="n">
        <x:f>IF(OR(B13="",H13&lt;&gt;""),0,D13)</x:f>
        <x:v>0</x:v>
      </x:c>
      <x:c r="J13" s="30" t="n">
        <x:f>IF(OR(B13="",H13&lt;&gt;""),0,G13)</x:f>
        <x:v>0</x:v>
      </x:c>
      <x:c r="K13" s="29" t="n">
        <x:f>IF(B13="",0,IF(H13="",0,1))</x:f>
        <x:v>1</x:v>
      </x:c>
    </x:row>
    <x:row r="14">
      <x:c r="A14" s="32"/>
      <x:c r="B14" s="16"/>
      <x:c r="C14" s="33" t="str">
        <x:f>IFERROR(VLOOKUP(B14,'商品映射'!$A$2:$B$50,2,FALSE),"待补映射")</x:f>
      </x:c>
      <x:c r="D14" s="34"/>
      <x:c r="E14" s="35"/>
      <x:c r="F14" s="16"/>
      <x:c r="G14" s="36" t="n">
        <x:f>IF(OR(D14&lt;=0,E14&lt;=0),0,D14*E14)</x:f>
        <x:v>0</x:v>
      </x:c>
      <x:c r="H14" s="33" t="str">
        <x:f>IF(B14="","",IF(C14="待补映射","未匹配商品",IF(D14&lt;=0,"数量异常",IF(E14&lt;=0,"单价异常",IF(COUNTIF($F$2:F14,F14)&gt;1,"订单号重复","")))))</x:f>
      </x:c>
      <x:c r="I14" s="30" t="n">
        <x:f>IF(OR(B14="",H14&lt;&gt;""),0,D14)</x:f>
        <x:v>0</x:v>
      </x:c>
      <x:c r="J14" s="30" t="n">
        <x:f>IF(OR(B14="",H14&lt;&gt;""),0,G14)</x:f>
        <x:v>0</x:v>
      </x:c>
      <x:c r="K14" s="29" t="n">
        <x:f>IF(B14="",0,IF(H14="",0,1))</x:f>
        <x:v>0</x:v>
      </x:c>
    </x:row>
    <x:row r="15">
      <x:c r="A15" s="32"/>
      <x:c r="B15" s="16"/>
      <x:c r="C15" s="33" t="str">
        <x:f>IFERROR(VLOOKUP(B15,'商品映射'!$A$2:$B$50,2,FALSE),"待补映射")</x:f>
      </x:c>
      <x:c r="D15" s="34"/>
      <x:c r="E15" s="35"/>
      <x:c r="F15" s="16"/>
      <x:c r="G15" s="36" t="n">
        <x:f>IF(OR(D15&lt;=0,E15&lt;=0),0,D15*E15)</x:f>
        <x:v>0</x:v>
      </x:c>
      <x:c r="H15" s="33" t="str">
        <x:f>IF(B15="","",IF(C15="待补映射","未匹配商品",IF(D15&lt;=0,"数量异常",IF(E15&lt;=0,"单价异常",IF(COUNTIF($F$2:F15,F15)&gt;1,"订单号重复","")))))</x:f>
      </x:c>
      <x:c r="I15" s="30" t="n">
        <x:f>IF(OR(B15="",H15&lt;&gt;""),0,D15)</x:f>
        <x:v>0</x:v>
      </x:c>
      <x:c r="J15" s="30" t="n">
        <x:f>IF(OR(B15="",H15&lt;&gt;""),0,G15)</x:f>
        <x:v>0</x:v>
      </x:c>
      <x:c r="K15" s="29" t="n">
        <x:f>IF(B15="",0,IF(H15="",0,1))</x:f>
        <x:v>0</x:v>
      </x:c>
    </x:row>
    <x:row r="16">
      <x:c r="A16" s="32"/>
      <x:c r="B16" s="16"/>
      <x:c r="C16" s="33" t="str">
        <x:f>IFERROR(VLOOKUP(B16,'商品映射'!$A$2:$B$50,2,FALSE),"待补映射")</x:f>
      </x:c>
      <x:c r="D16" s="34"/>
      <x:c r="E16" s="35"/>
      <x:c r="F16" s="16"/>
      <x:c r="G16" s="36" t="n">
        <x:f>IF(OR(D16&lt;=0,E16&lt;=0),0,D16*E16)</x:f>
        <x:v>0</x:v>
      </x:c>
      <x:c r="H16" s="33" t="str">
        <x:f>IF(B16="","",IF(C16="待补映射","未匹配商品",IF(D16&lt;=0,"数量异常",IF(E16&lt;=0,"单价异常",IF(COUNTIF($F$2:F16,F16)&gt;1,"订单号重复","")))))</x:f>
      </x:c>
      <x:c r="I16" s="30" t="n">
        <x:f>IF(OR(B16="",H16&lt;&gt;""),0,D16)</x:f>
        <x:v>0</x:v>
      </x:c>
      <x:c r="J16" s="30" t="n">
        <x:f>IF(OR(B16="",H16&lt;&gt;""),0,G16)</x:f>
        <x:v>0</x:v>
      </x:c>
      <x:c r="K16" s="29" t="n">
        <x:f>IF(B16="",0,IF(H16="",0,1))</x:f>
        <x:v>0</x:v>
      </x:c>
    </x:row>
    <x:row r="17">
      <x:c r="A17" s="32"/>
      <x:c r="B17" s="16"/>
      <x:c r="C17" s="33" t="str">
        <x:f>IFERROR(VLOOKUP(B17,'商品映射'!$A$2:$B$50,2,FALSE),"待补映射")</x:f>
      </x:c>
      <x:c r="D17" s="34"/>
      <x:c r="E17" s="35"/>
      <x:c r="F17" s="16"/>
      <x:c r="G17" s="36" t="n">
        <x:f>IF(OR(D17&lt;=0,E17&lt;=0),0,D17*E17)</x:f>
        <x:v>0</x:v>
      </x:c>
      <x:c r="H17" s="33" t="str">
        <x:f>IF(B17="","",IF(C17="待补映射","未匹配商品",IF(D17&lt;=0,"数量异常",IF(E17&lt;=0,"单价异常",IF(COUNTIF($F$2:F17,F17)&gt;1,"订单号重复","")))))</x:f>
      </x:c>
      <x:c r="I17" s="30" t="n">
        <x:f>IF(OR(B17="",H17&lt;&gt;""),0,D17)</x:f>
        <x:v>0</x:v>
      </x:c>
      <x:c r="J17" s="30" t="n">
        <x:f>IF(OR(B17="",H17&lt;&gt;""),0,G17)</x:f>
        <x:v>0</x:v>
      </x:c>
      <x:c r="K17" s="29" t="n">
        <x:f>IF(B17="",0,IF(H17="",0,1))</x:f>
        <x:v>0</x:v>
      </x:c>
    </x:row>
    <x:row r="18">
      <x:c r="A18" s="32"/>
      <x:c r="B18" s="16"/>
      <x:c r="C18" s="33" t="str">
        <x:f>IFERROR(VLOOKUP(B18,'商品映射'!$A$2:$B$50,2,FALSE),"待补映射")</x:f>
      </x:c>
      <x:c r="D18" s="34"/>
      <x:c r="E18" s="35"/>
      <x:c r="F18" s="16"/>
      <x:c r="G18" s="36" t="n">
        <x:f>IF(OR(D18&lt;=0,E18&lt;=0),0,D18*E18)</x:f>
        <x:v>0</x:v>
      </x:c>
      <x:c r="H18" s="33" t="str">
        <x:f>IF(B18="","",IF(C18="待补映射","未匹配商品",IF(D18&lt;=0,"数量异常",IF(E18&lt;=0,"单价异常",IF(COUNTIF($F$2:F18,F18)&gt;1,"订单号重复","")))))</x:f>
      </x:c>
      <x:c r="I18" s="30" t="n">
        <x:f>IF(OR(B18="",H18&lt;&gt;""),0,D18)</x:f>
        <x:v>0</x:v>
      </x:c>
      <x:c r="J18" s="30" t="n">
        <x:f>IF(OR(B18="",H18&lt;&gt;""),0,G18)</x:f>
        <x:v>0</x:v>
      </x:c>
      <x:c r="K18" s="29" t="n">
        <x:f>IF(B18="",0,IF(H18="",0,1))</x:f>
        <x:v>0</x:v>
      </x:c>
    </x:row>
    <x:row r="19">
      <x:c r="A19" s="32"/>
      <x:c r="B19" s="16"/>
      <x:c r="C19" s="33" t="str">
        <x:f>IFERROR(VLOOKUP(B19,'商品映射'!$A$2:$B$50,2,FALSE),"待补映射")</x:f>
      </x:c>
      <x:c r="D19" s="34"/>
      <x:c r="E19" s="35"/>
      <x:c r="F19" s="16"/>
      <x:c r="G19" s="36" t="n">
        <x:f>IF(OR(D19&lt;=0,E19&lt;=0),0,D19*E19)</x:f>
        <x:v>0</x:v>
      </x:c>
      <x:c r="H19" s="33" t="str">
        <x:f>IF(B19="","",IF(C19="待补映射","未匹配商品",IF(D19&lt;=0,"数量异常",IF(E19&lt;=0,"单价异常",IF(COUNTIF($F$2:F19,F19)&gt;1,"订单号重复","")))))</x:f>
      </x:c>
      <x:c r="I19" s="30" t="n">
        <x:f>IF(OR(B19="",H19&lt;&gt;""),0,D19)</x:f>
        <x:v>0</x:v>
      </x:c>
      <x:c r="J19" s="30" t="n">
        <x:f>IF(OR(B19="",H19&lt;&gt;""),0,G19)</x:f>
        <x:v>0</x:v>
      </x:c>
      <x:c r="K19" s="29" t="n">
        <x:f>IF(B19="",0,IF(H19="",0,1))</x:f>
        <x:v>0</x:v>
      </x:c>
    </x:row>
    <x:row r="20">
      <x:c r="A20" s="32"/>
      <x:c r="B20" s="16"/>
      <x:c r="C20" s="33" t="str">
        <x:f>IFERROR(VLOOKUP(B20,'商品映射'!$A$2:$B$50,2,FALSE),"待补映射")</x:f>
      </x:c>
      <x:c r="D20" s="34"/>
      <x:c r="E20" s="35"/>
      <x:c r="F20" s="16"/>
      <x:c r="G20" s="36" t="n">
        <x:f>IF(OR(D20&lt;=0,E20&lt;=0),0,D20*E20)</x:f>
        <x:v>0</x:v>
      </x:c>
      <x:c r="H20" s="33" t="str">
        <x:f>IF(B20="","",IF(C20="待补映射","未匹配商品",IF(D20&lt;=0,"数量异常",IF(E20&lt;=0,"单价异常",IF(COUNTIF($F$2:F20,F20)&gt;1,"订单号重复","")))))</x:f>
      </x:c>
      <x:c r="I20" s="30" t="n">
        <x:f>IF(OR(B20="",H20&lt;&gt;""),0,D20)</x:f>
        <x:v>0</x:v>
      </x:c>
      <x:c r="J20" s="30" t="n">
        <x:f>IF(OR(B20="",H20&lt;&gt;""),0,G20)</x:f>
        <x:v>0</x:v>
      </x:c>
      <x:c r="K20" s="29" t="n">
        <x:f>IF(B20="",0,IF(H20="",0,1))</x:f>
        <x:v>0</x:v>
      </x:c>
    </x:row>
    <x:row r="21">
      <x:c r="A21" s="32"/>
      <x:c r="B21" s="16"/>
      <x:c r="C21" s="33" t="str">
        <x:f>IFERROR(VLOOKUP(B21,'商品映射'!$A$2:$B$50,2,FALSE),"待补映射")</x:f>
      </x:c>
      <x:c r="D21" s="34"/>
      <x:c r="E21" s="35"/>
      <x:c r="F21" s="16"/>
      <x:c r="G21" s="36" t="n">
        <x:f>IF(OR(D21&lt;=0,E21&lt;=0),0,D21*E21)</x:f>
        <x:v>0</x:v>
      </x:c>
      <x:c r="H21" s="33" t="str">
        <x:f>IF(B21="","",IF(C21="待补映射","未匹配商品",IF(D21&lt;=0,"数量异常",IF(E21&lt;=0,"单价异常",IF(COUNTIF($F$2:F21,F21)&gt;1,"订单号重复","")))))</x:f>
      </x:c>
      <x:c r="I21" s="30" t="n">
        <x:f>IF(OR(B21="",H21&lt;&gt;""),0,D21)</x:f>
        <x:v>0</x:v>
      </x:c>
      <x:c r="J21" s="30" t="n">
        <x:f>IF(OR(B21="",H21&lt;&gt;""),0,G21)</x:f>
        <x:v>0</x:v>
      </x:c>
      <x:c r="K21" s="29" t="n">
        <x:f>IF(B21="",0,IF(H21="",0,1))</x:f>
        <x:v>0</x:v>
      </x:c>
    </x:row>
    <x:row r="22">
      <x:c r="A22" s="32"/>
      <x:c r="B22" s="16"/>
      <x:c r="C22" s="33" t="str">
        <x:f>IFERROR(VLOOKUP(B22,'商品映射'!$A$2:$B$50,2,FALSE),"待补映射")</x:f>
      </x:c>
      <x:c r="D22" s="34"/>
      <x:c r="E22" s="35"/>
      <x:c r="F22" s="16"/>
      <x:c r="G22" s="36" t="n">
        <x:f>IF(OR(D22&lt;=0,E22&lt;=0),0,D22*E22)</x:f>
        <x:v>0</x:v>
      </x:c>
      <x:c r="H22" s="33" t="str">
        <x:f>IF(B22="","",IF(C22="待补映射","未匹配商品",IF(D22&lt;=0,"数量异常",IF(E22&lt;=0,"单价异常",IF(COUNTIF($F$2:F22,F22)&gt;1,"订单号重复","")))))</x:f>
      </x:c>
      <x:c r="I22" s="30" t="n">
        <x:f>IF(OR(B22="",H22&lt;&gt;""),0,D22)</x:f>
        <x:v>0</x:v>
      </x:c>
      <x:c r="J22" s="30" t="n">
        <x:f>IF(OR(B22="",H22&lt;&gt;""),0,G22)</x:f>
        <x:v>0</x:v>
      </x:c>
      <x:c r="K22" s="29" t="n">
        <x:f>IF(B22="",0,IF(H22="",0,1))</x:f>
        <x:v>0</x:v>
      </x:c>
    </x:row>
    <x:row r="23">
      <x:c r="A23" s="32"/>
      <x:c r="B23" s="16"/>
      <x:c r="C23" s="33" t="str">
        <x:f>IFERROR(VLOOKUP(B23,'商品映射'!$A$2:$B$50,2,FALSE),"待补映射")</x:f>
      </x:c>
      <x:c r="D23" s="34"/>
      <x:c r="E23" s="35"/>
      <x:c r="F23" s="16"/>
      <x:c r="G23" s="36" t="n">
        <x:f>IF(OR(D23&lt;=0,E23&lt;=0),0,D23*E23)</x:f>
        <x:v>0</x:v>
      </x:c>
      <x:c r="H23" s="33" t="str">
        <x:f>IF(B23="","",IF(C23="待补映射","未匹配商品",IF(D23&lt;=0,"数量异常",IF(E23&lt;=0,"单价异常",IF(COUNTIF($F$2:F23,F23)&gt;1,"订单号重复","")))))</x:f>
      </x:c>
      <x:c r="I23" s="30" t="n">
        <x:f>IF(OR(B23="",H23&lt;&gt;""),0,D23)</x:f>
        <x:v>0</x:v>
      </x:c>
      <x:c r="J23" s="30" t="n">
        <x:f>IF(OR(B23="",H23&lt;&gt;""),0,G23)</x:f>
        <x:v>0</x:v>
      </x:c>
      <x:c r="K23" s="29" t="n">
        <x:f>IF(B23="",0,IF(H23="",0,1))</x:f>
        <x:v>0</x:v>
      </x:c>
    </x:row>
    <x:row r="24">
      <x:c r="A24" s="32"/>
      <x:c r="B24" s="16"/>
      <x:c r="C24" s="33" t="str">
        <x:f>IFERROR(VLOOKUP(B24,'商品映射'!$A$2:$B$50,2,FALSE),"待补映射")</x:f>
      </x:c>
      <x:c r="D24" s="34"/>
      <x:c r="E24" s="35"/>
      <x:c r="F24" s="16"/>
      <x:c r="G24" s="36" t="n">
        <x:f>IF(OR(D24&lt;=0,E24&lt;=0),0,D24*E24)</x:f>
        <x:v>0</x:v>
      </x:c>
      <x:c r="H24" s="33" t="str">
        <x:f>IF(B24="","",IF(C24="待补映射","未匹配商品",IF(D24&lt;=0,"数量异常",IF(E24&lt;=0,"单价异常",IF(COUNTIF($F$2:F24,F24)&gt;1,"订单号重复","")))))</x:f>
      </x:c>
      <x:c r="I24" s="30" t="n">
        <x:f>IF(OR(B24="",H24&lt;&gt;""),0,D24)</x:f>
        <x:v>0</x:v>
      </x:c>
      <x:c r="J24" s="30" t="n">
        <x:f>IF(OR(B24="",H24&lt;&gt;""),0,G24)</x:f>
        <x:v>0</x:v>
      </x:c>
      <x:c r="K24" s="29" t="n">
        <x:f>IF(B24="",0,IF(H24="",0,1))</x:f>
        <x:v>0</x:v>
      </x:c>
    </x:row>
    <x:row r="25">
      <x:c r="A25" s="32"/>
      <x:c r="B25" s="16"/>
      <x:c r="C25" s="33" t="str">
        <x:f>IFERROR(VLOOKUP(B25,'商品映射'!$A$2:$B$50,2,FALSE),"待补映射")</x:f>
      </x:c>
      <x:c r="D25" s="34"/>
      <x:c r="E25" s="35"/>
      <x:c r="F25" s="16"/>
      <x:c r="G25" s="36" t="n">
        <x:f>IF(OR(D25&lt;=0,E25&lt;=0),0,D25*E25)</x:f>
        <x:v>0</x:v>
      </x:c>
      <x:c r="H25" s="33" t="str">
        <x:f>IF(B25="","",IF(C25="待补映射","未匹配商品",IF(D25&lt;=0,"数量异常",IF(E25&lt;=0,"单价异常",IF(COUNTIF($F$2:F25,F25)&gt;1,"订单号重复","")))))</x:f>
      </x:c>
      <x:c r="I25" s="30" t="n">
        <x:f>IF(OR(B25="",H25&lt;&gt;""),0,D25)</x:f>
        <x:v>0</x:v>
      </x:c>
      <x:c r="J25" s="30" t="n">
        <x:f>IF(OR(B25="",H25&lt;&gt;""),0,G25)</x:f>
        <x:v>0</x:v>
      </x:c>
      <x:c r="K25" s="29" t="n">
        <x:f>IF(B25="",0,IF(H25="",0,1))</x:f>
        <x:v>0</x:v>
      </x:c>
    </x:row>
    <x:row r="26">
      <x:c r="A26" s="32"/>
      <x:c r="B26" s="16"/>
      <x:c r="C26" s="33" t="str">
        <x:f>IFERROR(VLOOKUP(B26,'商品映射'!$A$2:$B$50,2,FALSE),"待补映射")</x:f>
      </x:c>
      <x:c r="D26" s="34"/>
      <x:c r="E26" s="35"/>
      <x:c r="F26" s="16"/>
      <x:c r="G26" s="36" t="n">
        <x:f>IF(OR(D26&lt;=0,E26&lt;=0),0,D26*E26)</x:f>
        <x:v>0</x:v>
      </x:c>
      <x:c r="H26" s="33" t="str">
        <x:f>IF(B26="","",IF(C26="待补映射","未匹配商品",IF(D26&lt;=0,"数量异常",IF(E26&lt;=0,"单价异常",IF(COUNTIF($F$2:F26,F26)&gt;1,"订单号重复","")))))</x:f>
      </x:c>
      <x:c r="I26" s="30" t="n">
        <x:f>IF(OR(B26="",H26&lt;&gt;""),0,D26)</x:f>
        <x:v>0</x:v>
      </x:c>
      <x:c r="J26" s="30" t="n">
        <x:f>IF(OR(B26="",H26&lt;&gt;""),0,G26)</x:f>
        <x:v>0</x:v>
      </x:c>
      <x:c r="K26" s="29" t="n">
        <x:f>IF(B26="",0,IF(H26="",0,1))</x:f>
        <x:v>0</x:v>
      </x:c>
    </x:row>
    <x:row r="27">
      <x:c r="A27" s="32"/>
      <x:c r="B27" s="16"/>
      <x:c r="C27" s="33" t="str">
        <x:f>IFERROR(VLOOKUP(B27,'商品映射'!$A$2:$B$50,2,FALSE),"待补映射")</x:f>
      </x:c>
      <x:c r="D27" s="34"/>
      <x:c r="E27" s="35"/>
      <x:c r="F27" s="16"/>
      <x:c r="G27" s="36" t="n">
        <x:f>IF(OR(D27&lt;=0,E27&lt;=0),0,D27*E27)</x:f>
        <x:v>0</x:v>
      </x:c>
      <x:c r="H27" s="33" t="str">
        <x:f>IF(B27="","",IF(C27="待补映射","未匹配商品",IF(D27&lt;=0,"数量异常",IF(E27&lt;=0,"单价异常",IF(COUNTIF($F$2:F27,F27)&gt;1,"订单号重复","")))))</x:f>
      </x:c>
      <x:c r="I27" s="30" t="n">
        <x:f>IF(OR(B27="",H27&lt;&gt;""),0,D27)</x:f>
        <x:v>0</x:v>
      </x:c>
      <x:c r="J27" s="30" t="n">
        <x:f>IF(OR(B27="",H27&lt;&gt;""),0,G27)</x:f>
        <x:v>0</x:v>
      </x:c>
      <x:c r="K27" s="29" t="n">
        <x:f>IF(B27="",0,IF(H27="",0,1))</x:f>
        <x:v>0</x:v>
      </x:c>
    </x:row>
    <x:row r="28">
      <x:c r="A28" s="32"/>
      <x:c r="B28" s="16"/>
      <x:c r="C28" s="33" t="str">
        <x:f>IFERROR(VLOOKUP(B28,'商品映射'!$A$2:$B$50,2,FALSE),"待补映射")</x:f>
      </x:c>
      <x:c r="D28" s="34"/>
      <x:c r="E28" s="35"/>
      <x:c r="F28" s="16"/>
      <x:c r="G28" s="36" t="n">
        <x:f>IF(OR(D28&lt;=0,E28&lt;=0),0,D28*E28)</x:f>
        <x:v>0</x:v>
      </x:c>
      <x:c r="H28" s="33" t="str">
        <x:f>IF(B28="","",IF(C28="待补映射","未匹配商品",IF(D28&lt;=0,"数量异常",IF(E28&lt;=0,"单价异常",IF(COUNTIF($F$2:F28,F28)&gt;1,"订单号重复","")))))</x:f>
      </x:c>
      <x:c r="I28" s="30" t="n">
        <x:f>IF(OR(B28="",H28&lt;&gt;""),0,D28)</x:f>
        <x:v>0</x:v>
      </x:c>
      <x:c r="J28" s="30" t="n">
        <x:f>IF(OR(B28="",H28&lt;&gt;""),0,G28)</x:f>
        <x:v>0</x:v>
      </x:c>
      <x:c r="K28" s="29" t="n">
        <x:f>IF(B28="",0,IF(H28="",0,1))</x:f>
        <x:v>0</x:v>
      </x:c>
    </x:row>
    <x:row r="29">
      <x:c r="A29" s="32"/>
      <x:c r="B29" s="16"/>
      <x:c r="C29" s="33" t="str">
        <x:f>IFERROR(VLOOKUP(B29,'商品映射'!$A$2:$B$50,2,FALSE),"待补映射")</x:f>
      </x:c>
      <x:c r="D29" s="34"/>
      <x:c r="E29" s="35"/>
      <x:c r="F29" s="16"/>
      <x:c r="G29" s="36" t="n">
        <x:f>IF(OR(D29&lt;=0,E29&lt;=0),0,D29*E29)</x:f>
        <x:v>0</x:v>
      </x:c>
      <x:c r="H29" s="33" t="str">
        <x:f>IF(B29="","",IF(C29="待补映射","未匹配商品",IF(D29&lt;=0,"数量异常",IF(E29&lt;=0,"单价异常",IF(COUNTIF($F$2:F29,F29)&gt;1,"订单号重复","")))))</x:f>
      </x:c>
      <x:c r="I29" s="30" t="n">
        <x:f>IF(OR(B29="",H29&lt;&gt;""),0,D29)</x:f>
        <x:v>0</x:v>
      </x:c>
      <x:c r="J29" s="30" t="n">
        <x:f>IF(OR(B29="",H29&lt;&gt;""),0,G29)</x:f>
        <x:v>0</x:v>
      </x:c>
      <x:c r="K29" s="29" t="n">
        <x:f>IF(B29="",0,IF(H29="",0,1))</x:f>
        <x:v>0</x:v>
      </x:c>
    </x:row>
    <x:row r="30">
      <x:c r="A30" s="32"/>
      <x:c r="B30" s="16"/>
      <x:c r="C30" s="33" t="str">
        <x:f>IFERROR(VLOOKUP(B30,'商品映射'!$A$2:$B$50,2,FALSE),"待补映射")</x:f>
      </x:c>
      <x:c r="D30" s="34"/>
      <x:c r="E30" s="35"/>
      <x:c r="F30" s="16"/>
      <x:c r="G30" s="36" t="n">
        <x:f>IF(OR(D30&lt;=0,E30&lt;=0),0,D30*E30)</x:f>
        <x:v>0</x:v>
      </x:c>
      <x:c r="H30" s="33" t="str">
        <x:f>IF(B30="","",IF(C30="待补映射","未匹配商品",IF(D30&lt;=0,"数量异常",IF(E30&lt;=0,"单价异常",IF(COUNTIF($F$2:F30,F30)&gt;1,"订单号重复","")))))</x:f>
      </x:c>
      <x:c r="I30" s="30" t="n">
        <x:f>IF(OR(B30="",H30&lt;&gt;""),0,D30)</x:f>
        <x:v>0</x:v>
      </x:c>
      <x:c r="J30" s="30" t="n">
        <x:f>IF(OR(B30="",H30&lt;&gt;""),0,G30)</x:f>
        <x:v>0</x:v>
      </x:c>
      <x:c r="K30" s="29" t="n">
        <x:f>IF(B30="",0,IF(H30="",0,1))</x:f>
        <x:v>0</x:v>
      </x:c>
    </x:row>
    <x:row r="31">
      <x:c r="A31" s="32"/>
      <x:c r="B31" s="16"/>
      <x:c r="C31" s="33" t="str">
        <x:f>IFERROR(VLOOKUP(B31,'商品映射'!$A$2:$B$50,2,FALSE),"待补映射")</x:f>
      </x:c>
      <x:c r="D31" s="34"/>
      <x:c r="E31" s="35"/>
      <x:c r="F31" s="16"/>
      <x:c r="G31" s="36" t="n">
        <x:f>IF(OR(D31&lt;=0,E31&lt;=0),0,D31*E31)</x:f>
        <x:v>0</x:v>
      </x:c>
      <x:c r="H31" s="33" t="str">
        <x:f>IF(B31="","",IF(C31="待补映射","未匹配商品",IF(D31&lt;=0,"数量异常",IF(E31&lt;=0,"单价异常",IF(COUNTIF($F$2:F31,F31)&gt;1,"订单号重复","")))))</x:f>
      </x:c>
      <x:c r="I31" s="30" t="n">
        <x:f>IF(OR(B31="",H31&lt;&gt;""),0,D31)</x:f>
        <x:v>0</x:v>
      </x:c>
      <x:c r="J31" s="30" t="n">
        <x:f>IF(OR(B31="",H31&lt;&gt;""),0,G31)</x:f>
        <x:v>0</x:v>
      </x:c>
      <x:c r="K31" s="29" t="n">
        <x:f>IF(B31="",0,IF(H31="",0,1))</x:f>
        <x:v>0</x:v>
      </x:c>
    </x:row>
    <x:row r="32">
      <x:c r="A32" s="32"/>
      <x:c r="B32" s="16"/>
      <x:c r="C32" s="33" t="str">
        <x:f>IFERROR(VLOOKUP(B32,'商品映射'!$A$2:$B$50,2,FALSE),"待补映射")</x:f>
      </x:c>
      <x:c r="D32" s="34"/>
      <x:c r="E32" s="35"/>
      <x:c r="F32" s="16"/>
      <x:c r="G32" s="36" t="n">
        <x:f>IF(OR(D32&lt;=0,E32&lt;=0),0,D32*E32)</x:f>
        <x:v>0</x:v>
      </x:c>
      <x:c r="H32" s="33" t="str">
        <x:f>IF(B32="","",IF(C32="待补映射","未匹配商品",IF(D32&lt;=0,"数量异常",IF(E32&lt;=0,"单价异常",IF(COUNTIF($F$2:F32,F32)&gt;1,"订单号重复","")))))</x:f>
      </x:c>
      <x:c r="I32" s="30" t="n">
        <x:f>IF(OR(B32="",H32&lt;&gt;""),0,D32)</x:f>
        <x:v>0</x:v>
      </x:c>
      <x:c r="J32" s="30" t="n">
        <x:f>IF(OR(B32="",H32&lt;&gt;""),0,G32)</x:f>
        <x:v>0</x:v>
      </x:c>
      <x:c r="K32" s="29" t="n">
        <x:f>IF(B32="",0,IF(H32="",0,1))</x:f>
        <x:v>0</x:v>
      </x:c>
    </x:row>
    <x:row r="33">
      <x:c r="A33" s="32"/>
      <x:c r="B33" s="16"/>
      <x:c r="C33" s="33" t="str">
        <x:f>IFERROR(VLOOKUP(B33,'商品映射'!$A$2:$B$50,2,FALSE),"待补映射")</x:f>
      </x:c>
      <x:c r="D33" s="34"/>
      <x:c r="E33" s="35"/>
      <x:c r="F33" s="16"/>
      <x:c r="G33" s="36" t="n">
        <x:f>IF(OR(D33&lt;=0,E33&lt;=0),0,D33*E33)</x:f>
        <x:v>0</x:v>
      </x:c>
      <x:c r="H33" s="33" t="str">
        <x:f>IF(B33="","",IF(C33="待补映射","未匹配商品",IF(D33&lt;=0,"数量异常",IF(E33&lt;=0,"单价异常",IF(COUNTIF($F$2:F33,F33)&gt;1,"订单号重复","")))))</x:f>
      </x:c>
      <x:c r="I33" s="30" t="n">
        <x:f>IF(OR(B33="",H33&lt;&gt;""),0,D33)</x:f>
        <x:v>0</x:v>
      </x:c>
      <x:c r="J33" s="30" t="n">
        <x:f>IF(OR(B33="",H33&lt;&gt;""),0,G33)</x:f>
        <x:v>0</x:v>
      </x:c>
      <x:c r="K33" s="29" t="n">
        <x:f>IF(B33="",0,IF(H33="",0,1))</x:f>
        <x:v>0</x:v>
      </x:c>
    </x:row>
    <x:row r="34">
      <x:c r="A34" s="32"/>
      <x:c r="B34" s="16"/>
      <x:c r="C34" s="33" t="str">
        <x:f>IFERROR(VLOOKUP(B34,'商品映射'!$A$2:$B$50,2,FALSE),"待补映射")</x:f>
      </x:c>
      <x:c r="D34" s="34"/>
      <x:c r="E34" s="35"/>
      <x:c r="F34" s="16"/>
      <x:c r="G34" s="36" t="n">
        <x:f>IF(OR(D34&lt;=0,E34&lt;=0),0,D34*E34)</x:f>
        <x:v>0</x:v>
      </x:c>
      <x:c r="H34" s="33" t="str">
        <x:f>IF(B34="","",IF(C34="待补映射","未匹配商品",IF(D34&lt;=0,"数量异常",IF(E34&lt;=0,"单价异常",IF(COUNTIF($F$2:F34,F34)&gt;1,"订单号重复","")))))</x:f>
      </x:c>
      <x:c r="I34" s="30" t="n">
        <x:f>IF(OR(B34="",H34&lt;&gt;""),0,D34)</x:f>
        <x:v>0</x:v>
      </x:c>
      <x:c r="J34" s="30" t="n">
        <x:f>IF(OR(B34="",H34&lt;&gt;""),0,G34)</x:f>
        <x:v>0</x:v>
      </x:c>
      <x:c r="K34" s="29" t="n">
        <x:f>IF(B34="",0,IF(H34="",0,1))</x:f>
        <x:v>0</x:v>
      </x:c>
    </x:row>
    <x:row r="35">
      <x:c r="A35" s="32"/>
      <x:c r="B35" s="16"/>
      <x:c r="C35" s="33" t="str">
        <x:f>IFERROR(VLOOKUP(B35,'商品映射'!$A$2:$B$50,2,FALSE),"待补映射")</x:f>
      </x:c>
      <x:c r="D35" s="34"/>
      <x:c r="E35" s="35"/>
      <x:c r="F35" s="16"/>
      <x:c r="G35" s="36" t="n">
        <x:f>IF(OR(D35&lt;=0,E35&lt;=0),0,D35*E35)</x:f>
        <x:v>0</x:v>
      </x:c>
      <x:c r="H35" s="33" t="str">
        <x:f>IF(B35="","",IF(C35="待补映射","未匹配商品",IF(D35&lt;=0,"数量异常",IF(E35&lt;=0,"单价异常",IF(COUNTIF($F$2:F35,F35)&gt;1,"订单号重复","")))))</x:f>
      </x:c>
      <x:c r="I35" s="30" t="n">
        <x:f>IF(OR(B35="",H35&lt;&gt;""),0,D35)</x:f>
        <x:v>0</x:v>
      </x:c>
      <x:c r="J35" s="30" t="n">
        <x:f>IF(OR(B35="",H35&lt;&gt;""),0,G35)</x:f>
        <x:v>0</x:v>
      </x:c>
      <x:c r="K35" s="29" t="n">
        <x:f>IF(B35="",0,IF(H35="",0,1))</x:f>
        <x:v>0</x:v>
      </x:c>
    </x:row>
    <x:row r="36">
      <x:c r="A36" s="32"/>
      <x:c r="B36" s="16"/>
      <x:c r="C36" s="33" t="str">
        <x:f>IFERROR(VLOOKUP(B36,'商品映射'!$A$2:$B$50,2,FALSE),"待补映射")</x:f>
      </x:c>
      <x:c r="D36" s="34"/>
      <x:c r="E36" s="35"/>
      <x:c r="F36" s="16"/>
      <x:c r="G36" s="36" t="n">
        <x:f>IF(OR(D36&lt;=0,E36&lt;=0),0,D36*E36)</x:f>
        <x:v>0</x:v>
      </x:c>
      <x:c r="H36" s="33" t="str">
        <x:f>IF(B36="","",IF(C36="待补映射","未匹配商品",IF(D36&lt;=0,"数量异常",IF(E36&lt;=0,"单价异常",IF(COUNTIF($F$2:F36,F36)&gt;1,"订单号重复","")))))</x:f>
      </x:c>
      <x:c r="I36" s="30" t="n">
        <x:f>IF(OR(B36="",H36&lt;&gt;""),0,D36)</x:f>
        <x:v>0</x:v>
      </x:c>
      <x:c r="J36" s="30" t="n">
        <x:f>IF(OR(B36="",H36&lt;&gt;""),0,G36)</x:f>
        <x:v>0</x:v>
      </x:c>
      <x:c r="K36" s="29" t="n">
        <x:f>IF(B36="",0,IF(H36="",0,1))</x:f>
        <x:v>0</x:v>
      </x:c>
    </x:row>
    <x:row r="37">
      <x:c r="A37" s="32"/>
      <x:c r="B37" s="16"/>
      <x:c r="C37" s="33" t="str">
        <x:f>IFERROR(VLOOKUP(B37,'商品映射'!$A$2:$B$50,2,FALSE),"待补映射")</x:f>
      </x:c>
      <x:c r="D37" s="34"/>
      <x:c r="E37" s="35"/>
      <x:c r="F37" s="16"/>
      <x:c r="G37" s="36" t="n">
        <x:f>IF(OR(D37&lt;=0,E37&lt;=0),0,D37*E37)</x:f>
        <x:v>0</x:v>
      </x:c>
      <x:c r="H37" s="33" t="str">
        <x:f>IF(B37="","",IF(C37="待补映射","未匹配商品",IF(D37&lt;=0,"数量异常",IF(E37&lt;=0,"单价异常",IF(COUNTIF($F$2:F37,F37)&gt;1,"订单号重复","")))))</x:f>
      </x:c>
      <x:c r="I37" s="30" t="n">
        <x:f>IF(OR(B37="",H37&lt;&gt;""),0,D37)</x:f>
        <x:v>0</x:v>
      </x:c>
      <x:c r="J37" s="30" t="n">
        <x:f>IF(OR(B37="",H37&lt;&gt;""),0,G37)</x:f>
        <x:v>0</x:v>
      </x:c>
      <x:c r="K37" s="29" t="n">
        <x:f>IF(B37="",0,IF(H37="",0,1))</x:f>
        <x:v>0</x:v>
      </x:c>
    </x:row>
    <x:row r="38">
      <x:c r="A38" s="32"/>
      <x:c r="B38" s="16"/>
      <x:c r="C38" s="33" t="str">
        <x:f>IFERROR(VLOOKUP(B38,'商品映射'!$A$2:$B$50,2,FALSE),"待补映射")</x:f>
      </x:c>
      <x:c r="D38" s="34"/>
      <x:c r="E38" s="35"/>
      <x:c r="F38" s="16"/>
      <x:c r="G38" s="36" t="n">
        <x:f>IF(OR(D38&lt;=0,E38&lt;=0),0,D38*E38)</x:f>
        <x:v>0</x:v>
      </x:c>
      <x:c r="H38" s="33" t="str">
        <x:f>IF(B38="","",IF(C38="待补映射","未匹配商品",IF(D38&lt;=0,"数量异常",IF(E38&lt;=0,"单价异常",IF(COUNTIF($F$2:F38,F38)&gt;1,"订单号重复","")))))</x:f>
      </x:c>
      <x:c r="I38" s="30" t="n">
        <x:f>IF(OR(B38="",H38&lt;&gt;""),0,D38)</x:f>
        <x:v>0</x:v>
      </x:c>
      <x:c r="J38" s="30" t="n">
        <x:f>IF(OR(B38="",H38&lt;&gt;""),0,G38)</x:f>
        <x:v>0</x:v>
      </x:c>
      <x:c r="K38" s="29" t="n">
        <x:f>IF(B38="",0,IF(H38="",0,1))</x:f>
        <x:v>0</x:v>
      </x:c>
    </x:row>
    <x:row r="39">
      <x:c r="A39" s="32"/>
      <x:c r="B39" s="16"/>
      <x:c r="C39" s="33" t="str">
        <x:f>IFERROR(VLOOKUP(B39,'商品映射'!$A$2:$B$50,2,FALSE),"待补映射")</x:f>
      </x:c>
      <x:c r="D39" s="34"/>
      <x:c r="E39" s="35"/>
      <x:c r="F39" s="16"/>
      <x:c r="G39" s="36" t="n">
        <x:f>IF(OR(D39&lt;=0,E39&lt;=0),0,D39*E39)</x:f>
        <x:v>0</x:v>
      </x:c>
      <x:c r="H39" s="33" t="str">
        <x:f>IF(B39="","",IF(C39="待补映射","未匹配商品",IF(D39&lt;=0,"数量异常",IF(E39&lt;=0,"单价异常",IF(COUNTIF($F$2:F39,F39)&gt;1,"订单号重复","")))))</x:f>
      </x:c>
      <x:c r="I39" s="30" t="n">
        <x:f>IF(OR(B39="",H39&lt;&gt;""),0,D39)</x:f>
        <x:v>0</x:v>
      </x:c>
      <x:c r="J39" s="30" t="n">
        <x:f>IF(OR(B39="",H39&lt;&gt;""),0,G39)</x:f>
        <x:v>0</x:v>
      </x:c>
      <x:c r="K39" s="29" t="n">
        <x:f>IF(B39="",0,IF(H39="",0,1))</x:f>
        <x:v>0</x:v>
      </x:c>
    </x:row>
    <x:row r="40">
      <x:c r="A40" s="32"/>
      <x:c r="B40" s="16"/>
      <x:c r="C40" s="33" t="str">
        <x:f>IFERROR(VLOOKUP(B40,'商品映射'!$A$2:$B$50,2,FALSE),"待补映射")</x:f>
      </x:c>
      <x:c r="D40" s="34"/>
      <x:c r="E40" s="35"/>
      <x:c r="F40" s="16"/>
      <x:c r="G40" s="36" t="n">
        <x:f>IF(OR(D40&lt;=0,E40&lt;=0),0,D40*E40)</x:f>
        <x:v>0</x:v>
      </x:c>
      <x:c r="H40" s="33" t="str">
        <x:f>IF(B40="","",IF(C40="待补映射","未匹配商品",IF(D40&lt;=0,"数量异常",IF(E40&lt;=0,"单价异常",IF(COUNTIF($F$2:F40,F40)&gt;1,"订单号重复","")))))</x:f>
      </x:c>
      <x:c r="I40" s="30" t="n">
        <x:f>IF(OR(B40="",H40&lt;&gt;""),0,D40)</x:f>
        <x:v>0</x:v>
      </x:c>
      <x:c r="J40" s="30" t="n">
        <x:f>IF(OR(B40="",H40&lt;&gt;""),0,G40)</x:f>
        <x:v>0</x:v>
      </x:c>
      <x:c r="K40" s="29" t="n">
        <x:f>IF(B40="",0,IF(H40="",0,1))</x:f>
        <x:v>0</x:v>
      </x:c>
    </x:row>
    <x:row r="41">
      <x:c r="A41" s="32"/>
      <x:c r="B41" s="16"/>
      <x:c r="C41" s="33" t="str">
        <x:f>IFERROR(VLOOKUP(B41,'商品映射'!$A$2:$B$50,2,FALSE),"待补映射")</x:f>
      </x:c>
      <x:c r="D41" s="34"/>
      <x:c r="E41" s="35"/>
      <x:c r="F41" s="16"/>
      <x:c r="G41" s="36" t="n">
        <x:f>IF(OR(D41&lt;=0,E41&lt;=0),0,D41*E41)</x:f>
        <x:v>0</x:v>
      </x:c>
      <x:c r="H41" s="33" t="str">
        <x:f>IF(B41="","",IF(C41="待补映射","未匹配商品",IF(D41&lt;=0,"数量异常",IF(E41&lt;=0,"单价异常",IF(COUNTIF($F$2:F41,F41)&gt;1,"订单号重复","")))))</x:f>
      </x:c>
      <x:c r="I41" s="30" t="n">
        <x:f>IF(OR(B41="",H41&lt;&gt;""),0,D41)</x:f>
        <x:v>0</x:v>
      </x:c>
      <x:c r="J41" s="30" t="n">
        <x:f>IF(OR(B41="",H41&lt;&gt;""),0,G41)</x:f>
        <x:v>0</x:v>
      </x:c>
      <x:c r="K41" s="29" t="n">
        <x:f>IF(B41="",0,IF(H41="",0,1))</x:f>
        <x:v>0</x:v>
      </x:c>
    </x:row>
    <x:row r="42">
      <x:c r="A42" s="32"/>
      <x:c r="B42" s="16"/>
      <x:c r="C42" s="33" t="str">
        <x:f>IFERROR(VLOOKUP(B42,'商品映射'!$A$2:$B$50,2,FALSE),"待补映射")</x:f>
      </x:c>
      <x:c r="D42" s="34"/>
      <x:c r="E42" s="35"/>
      <x:c r="F42" s="16"/>
      <x:c r="G42" s="36" t="n">
        <x:f>IF(OR(D42&lt;=0,E42&lt;=0),0,D42*E42)</x:f>
        <x:v>0</x:v>
      </x:c>
      <x:c r="H42" s="33" t="str">
        <x:f>IF(B42="","",IF(C42="待补映射","未匹配商品",IF(D42&lt;=0,"数量异常",IF(E42&lt;=0,"单价异常",IF(COUNTIF($F$2:F42,F42)&gt;1,"订单号重复","")))))</x:f>
      </x:c>
      <x:c r="I42" s="30" t="n">
        <x:f>IF(OR(B42="",H42&lt;&gt;""),0,D42)</x:f>
        <x:v>0</x:v>
      </x:c>
      <x:c r="J42" s="30" t="n">
        <x:f>IF(OR(B42="",H42&lt;&gt;""),0,G42)</x:f>
        <x:v>0</x:v>
      </x:c>
      <x:c r="K42" s="29" t="n">
        <x:f>IF(B42="",0,IF(H42="",0,1))</x:f>
        <x:v>0</x:v>
      </x:c>
    </x:row>
    <x:row r="43">
      <x:c r="A43" s="32"/>
      <x:c r="B43" s="16"/>
      <x:c r="C43" s="33" t="str">
        <x:f>IFERROR(VLOOKUP(B43,'商品映射'!$A$2:$B$50,2,FALSE),"待补映射")</x:f>
      </x:c>
      <x:c r="D43" s="34"/>
      <x:c r="E43" s="35"/>
      <x:c r="F43" s="16"/>
      <x:c r="G43" s="36" t="n">
        <x:f>IF(OR(D43&lt;=0,E43&lt;=0),0,D43*E43)</x:f>
        <x:v>0</x:v>
      </x:c>
      <x:c r="H43" s="33" t="str">
        <x:f>IF(B43="","",IF(C43="待补映射","未匹配商品",IF(D43&lt;=0,"数量异常",IF(E43&lt;=0,"单价异常",IF(COUNTIF($F$2:F43,F43)&gt;1,"订单号重复","")))))</x:f>
      </x:c>
      <x:c r="I43" s="30" t="n">
        <x:f>IF(OR(B43="",H43&lt;&gt;""),0,D43)</x:f>
        <x:v>0</x:v>
      </x:c>
      <x:c r="J43" s="30" t="n">
        <x:f>IF(OR(B43="",H43&lt;&gt;""),0,G43)</x:f>
        <x:v>0</x:v>
      </x:c>
      <x:c r="K43" s="29" t="n">
        <x:f>IF(B43="",0,IF(H43="",0,1))</x:f>
        <x:v>0</x:v>
      </x:c>
    </x:row>
    <x:row r="44">
      <x:c r="A44" s="32"/>
      <x:c r="B44" s="16"/>
      <x:c r="C44" s="33" t="str">
        <x:f>IFERROR(VLOOKUP(B44,'商品映射'!$A$2:$B$50,2,FALSE),"待补映射")</x:f>
      </x:c>
      <x:c r="D44" s="34"/>
      <x:c r="E44" s="35"/>
      <x:c r="F44" s="16"/>
      <x:c r="G44" s="36" t="n">
        <x:f>IF(OR(D44&lt;=0,E44&lt;=0),0,D44*E44)</x:f>
        <x:v>0</x:v>
      </x:c>
      <x:c r="H44" s="33" t="str">
        <x:f>IF(B44="","",IF(C44="待补映射","未匹配商品",IF(D44&lt;=0,"数量异常",IF(E44&lt;=0,"单价异常",IF(COUNTIF($F$2:F44,F44)&gt;1,"订单号重复","")))))</x:f>
      </x:c>
      <x:c r="I44" s="30" t="n">
        <x:f>IF(OR(B44="",H44&lt;&gt;""),0,D44)</x:f>
        <x:v>0</x:v>
      </x:c>
      <x:c r="J44" s="30" t="n">
        <x:f>IF(OR(B44="",H44&lt;&gt;""),0,G44)</x:f>
        <x:v>0</x:v>
      </x:c>
      <x:c r="K44" s="29" t="n">
        <x:f>IF(B44="",0,IF(H44="",0,1))</x:f>
        <x:v>0</x:v>
      </x:c>
    </x:row>
    <x:row r="45">
      <x:c r="A45" s="32"/>
      <x:c r="B45" s="16"/>
      <x:c r="C45" s="33" t="str">
        <x:f>IFERROR(VLOOKUP(B45,'商品映射'!$A$2:$B$50,2,FALSE),"待补映射")</x:f>
      </x:c>
      <x:c r="D45" s="34"/>
      <x:c r="E45" s="35"/>
      <x:c r="F45" s="16"/>
      <x:c r="G45" s="36" t="n">
        <x:f>IF(OR(D45&lt;=0,E45&lt;=0),0,D45*E45)</x:f>
        <x:v>0</x:v>
      </x:c>
      <x:c r="H45" s="33" t="str">
        <x:f>IF(B45="","",IF(C45="待补映射","未匹配商品",IF(D45&lt;=0,"数量异常",IF(E45&lt;=0,"单价异常",IF(COUNTIF($F$2:F45,F45)&gt;1,"订单号重复","")))))</x:f>
      </x:c>
      <x:c r="I45" s="30" t="n">
        <x:f>IF(OR(B45="",H45&lt;&gt;""),0,D45)</x:f>
        <x:v>0</x:v>
      </x:c>
      <x:c r="J45" s="30" t="n">
        <x:f>IF(OR(B45="",H45&lt;&gt;""),0,G45)</x:f>
        <x:v>0</x:v>
      </x:c>
      <x:c r="K45" s="29" t="n">
        <x:f>IF(B45="",0,IF(H45="",0,1))</x:f>
        <x:v>0</x:v>
      </x:c>
    </x:row>
    <x:row r="46">
      <x:c r="A46" s="32"/>
      <x:c r="B46" s="16"/>
      <x:c r="C46" s="33" t="str">
        <x:f>IFERROR(VLOOKUP(B46,'商品映射'!$A$2:$B$50,2,FALSE),"待补映射")</x:f>
      </x:c>
      <x:c r="D46" s="34"/>
      <x:c r="E46" s="35"/>
      <x:c r="F46" s="16"/>
      <x:c r="G46" s="36" t="n">
        <x:f>IF(OR(D46&lt;=0,E46&lt;=0),0,D46*E46)</x:f>
        <x:v>0</x:v>
      </x:c>
      <x:c r="H46" s="33" t="str">
        <x:f>IF(B46="","",IF(C46="待补映射","未匹配商品",IF(D46&lt;=0,"数量异常",IF(E46&lt;=0,"单价异常",IF(COUNTIF($F$2:F46,F46)&gt;1,"订单号重复","")))))</x:f>
      </x:c>
      <x:c r="I46" s="30" t="n">
        <x:f>IF(OR(B46="",H46&lt;&gt;""),0,D46)</x:f>
        <x:v>0</x:v>
      </x:c>
      <x:c r="J46" s="30" t="n">
        <x:f>IF(OR(B46="",H46&lt;&gt;""),0,G46)</x:f>
        <x:v>0</x:v>
      </x:c>
      <x:c r="K46" s="29" t="n">
        <x:f>IF(B46="",0,IF(H46="",0,1))</x:f>
        <x:v>0</x:v>
      </x:c>
    </x:row>
    <x:row r="47">
      <x:c r="A47" s="32"/>
      <x:c r="B47" s="16"/>
      <x:c r="C47" s="33" t="str">
        <x:f>IFERROR(VLOOKUP(B47,'商品映射'!$A$2:$B$50,2,FALSE),"待补映射")</x:f>
      </x:c>
      <x:c r="D47" s="34"/>
      <x:c r="E47" s="35"/>
      <x:c r="F47" s="16"/>
      <x:c r="G47" s="36" t="n">
        <x:f>IF(OR(D47&lt;=0,E47&lt;=0),0,D47*E47)</x:f>
        <x:v>0</x:v>
      </x:c>
      <x:c r="H47" s="33" t="str">
        <x:f>IF(B47="","",IF(C47="待补映射","未匹配商品",IF(D47&lt;=0,"数量异常",IF(E47&lt;=0,"单价异常",IF(COUNTIF($F$2:F47,F47)&gt;1,"订单号重复","")))))</x:f>
      </x:c>
      <x:c r="I47" s="30" t="n">
        <x:f>IF(OR(B47="",H47&lt;&gt;""),0,D47)</x:f>
        <x:v>0</x:v>
      </x:c>
      <x:c r="J47" s="30" t="n">
        <x:f>IF(OR(B47="",H47&lt;&gt;""),0,G47)</x:f>
        <x:v>0</x:v>
      </x:c>
      <x:c r="K47" s="29" t="n">
        <x:f>IF(B47="",0,IF(H47="",0,1))</x:f>
        <x:v>0</x:v>
      </x:c>
    </x:row>
    <x:row r="48">
      <x:c r="A48" s="32"/>
      <x:c r="B48" s="16"/>
      <x:c r="C48" s="33" t="str">
        <x:f>IFERROR(VLOOKUP(B48,'商品映射'!$A$2:$B$50,2,FALSE),"待补映射")</x:f>
      </x:c>
      <x:c r="D48" s="34"/>
      <x:c r="E48" s="35"/>
      <x:c r="F48" s="16"/>
      <x:c r="G48" s="36" t="n">
        <x:f>IF(OR(D48&lt;=0,E48&lt;=0),0,D48*E48)</x:f>
        <x:v>0</x:v>
      </x:c>
      <x:c r="H48" s="33" t="str">
        <x:f>IF(B48="","",IF(C48="待补映射","未匹配商品",IF(D48&lt;=0,"数量异常",IF(E48&lt;=0,"单价异常",IF(COUNTIF($F$2:F48,F48)&gt;1,"订单号重复","")))))</x:f>
      </x:c>
      <x:c r="I48" s="30" t="n">
        <x:f>IF(OR(B48="",H48&lt;&gt;""),0,D48)</x:f>
        <x:v>0</x:v>
      </x:c>
      <x:c r="J48" s="30" t="n">
        <x:f>IF(OR(B48="",H48&lt;&gt;""),0,G48)</x:f>
        <x:v>0</x:v>
      </x:c>
      <x:c r="K48" s="29" t="n">
        <x:f>IF(B48="",0,IF(H48="",0,1))</x:f>
        <x:v>0</x:v>
      </x:c>
    </x:row>
    <x:row r="49">
      <x:c r="A49" s="32"/>
      <x:c r="B49" s="16"/>
      <x:c r="C49" s="33" t="str">
        <x:f>IFERROR(VLOOKUP(B49,'商品映射'!$A$2:$B$50,2,FALSE),"待补映射")</x:f>
      </x:c>
      <x:c r="D49" s="34"/>
      <x:c r="E49" s="35"/>
      <x:c r="F49" s="16"/>
      <x:c r="G49" s="36" t="n">
        <x:f>IF(OR(D49&lt;=0,E49&lt;=0),0,D49*E49)</x:f>
        <x:v>0</x:v>
      </x:c>
      <x:c r="H49" s="33" t="str">
        <x:f>IF(B49="","",IF(C49="待补映射","未匹配商品",IF(D49&lt;=0,"数量异常",IF(E49&lt;=0,"单价异常",IF(COUNTIF($F$2:F49,F49)&gt;1,"订单号重复","")))))</x:f>
      </x:c>
      <x:c r="I49" s="30" t="n">
        <x:f>IF(OR(B49="",H49&lt;&gt;""),0,D49)</x:f>
        <x:v>0</x:v>
      </x:c>
      <x:c r="J49" s="30" t="n">
        <x:f>IF(OR(B49="",H49&lt;&gt;""),0,G49)</x:f>
        <x:v>0</x:v>
      </x:c>
      <x:c r="K49" s="29" t="n">
        <x:f>IF(B49="",0,IF(H49="",0,1))</x:f>
        <x:v>0</x:v>
      </x:c>
    </x:row>
    <x:row r="50">
      <x:c r="A50" s="32"/>
      <x:c r="B50" s="16"/>
      <x:c r="C50" s="33" t="str">
        <x:f>IFERROR(VLOOKUP(B50,'商品映射'!$A$2:$B$50,2,FALSE),"待补映射")</x:f>
      </x:c>
      <x:c r="D50" s="34"/>
      <x:c r="E50" s="35"/>
      <x:c r="F50" s="16"/>
      <x:c r="G50" s="36" t="n">
        <x:f>IF(OR(D50&lt;=0,E50&lt;=0),0,D50*E50)</x:f>
        <x:v>0</x:v>
      </x:c>
      <x:c r="H50" s="33" t="str">
        <x:f>IF(B50="","",IF(C50="待补映射","未匹配商品",IF(D50&lt;=0,"数量异常",IF(E50&lt;=0,"单价异常",IF(COUNTIF($F$2:F50,F50)&gt;1,"订单号重复","")))))</x:f>
      </x:c>
      <x:c r="I50" s="30" t="n">
        <x:f>IF(OR(B50="",H50&lt;&gt;""),0,D50)</x:f>
        <x:v>0</x:v>
      </x:c>
      <x:c r="J50" s="30" t="n">
        <x:f>IF(OR(B50="",H50&lt;&gt;""),0,G50)</x:f>
        <x:v>0</x:v>
      </x:c>
      <x:c r="K50" s="29" t="n">
        <x:f>IF(B50="",0,IF(H50="",0,1))</x:f>
        <x:v>0</x:v>
      </x:c>
    </x:row>
    <x:row r="51">
      <x:c r="A51" s="32"/>
      <x:c r="B51" s="16"/>
      <x:c r="C51" s="33" t="str">
        <x:f>IFERROR(VLOOKUP(B51,'商品映射'!$A$2:$B$50,2,FALSE),"待补映射")</x:f>
      </x:c>
      <x:c r="D51" s="34"/>
      <x:c r="E51" s="35"/>
      <x:c r="F51" s="16"/>
      <x:c r="G51" s="36" t="n">
        <x:f>IF(OR(D51&lt;=0,E51&lt;=0),0,D51*E51)</x:f>
        <x:v>0</x:v>
      </x:c>
      <x:c r="H51" s="33" t="str">
        <x:f>IF(B51="","",IF(C51="待补映射","未匹配商品",IF(D51&lt;=0,"数量异常",IF(E51&lt;=0,"单价异常",IF(COUNTIF($F$2:F51,F51)&gt;1,"订单号重复","")))))</x:f>
      </x:c>
      <x:c r="I51" s="30" t="n">
        <x:f>IF(OR(B51="",H51&lt;&gt;""),0,D51)</x:f>
        <x:v>0</x:v>
      </x:c>
      <x:c r="J51" s="30" t="n">
        <x:f>IF(OR(B51="",H51&lt;&gt;""),0,G51)</x:f>
        <x:v>0</x:v>
      </x:c>
      <x:c r="K51" s="29" t="n">
        <x:f>IF(B51="",0,IF(H51="",0,1))</x:f>
        <x:v>0</x:v>
      </x:c>
    </x:row>
    <x:row r="52">
      <x:c r="A52" s="32"/>
      <x:c r="B52" s="16"/>
      <x:c r="C52" s="33" t="str">
        <x:f>IFERROR(VLOOKUP(B52,'商品映射'!$A$2:$B$50,2,FALSE),"待补映射")</x:f>
      </x:c>
      <x:c r="D52" s="34"/>
      <x:c r="E52" s="35"/>
      <x:c r="F52" s="16"/>
      <x:c r="G52" s="36" t="n">
        <x:f>IF(OR(D52&lt;=0,E52&lt;=0),0,D52*E52)</x:f>
        <x:v>0</x:v>
      </x:c>
      <x:c r="H52" s="33" t="str">
        <x:f>IF(B52="","",IF(C52="待补映射","未匹配商品",IF(D52&lt;=0,"数量异常",IF(E52&lt;=0,"单价异常",IF(COUNTIF($F$2:F52,F52)&gt;1,"订单号重复","")))))</x:f>
      </x:c>
      <x:c r="I52" s="30" t="n">
        <x:f>IF(OR(B52="",H52&lt;&gt;""),0,D52)</x:f>
        <x:v>0</x:v>
      </x:c>
      <x:c r="J52" s="30" t="n">
        <x:f>IF(OR(B52="",H52&lt;&gt;""),0,G52)</x:f>
        <x:v>0</x:v>
      </x:c>
      <x:c r="K52" s="29" t="n">
        <x:f>IF(B52="",0,IF(H52="",0,1))</x:f>
        <x:v>0</x:v>
      </x:c>
    </x:row>
    <x:row r="53">
      <x:c r="A53" s="32"/>
      <x:c r="B53" s="16"/>
      <x:c r="C53" s="33" t="str">
        <x:f>IFERROR(VLOOKUP(B53,'商品映射'!$A$2:$B$50,2,FALSE),"待补映射")</x:f>
      </x:c>
      <x:c r="D53" s="34"/>
      <x:c r="E53" s="35"/>
      <x:c r="F53" s="16"/>
      <x:c r="G53" s="36" t="n">
        <x:f>IF(OR(D53&lt;=0,E53&lt;=0),0,D53*E53)</x:f>
        <x:v>0</x:v>
      </x:c>
      <x:c r="H53" s="33" t="str">
        <x:f>IF(B53="","",IF(C53="待补映射","未匹配商品",IF(D53&lt;=0,"数量异常",IF(E53&lt;=0,"单价异常",IF(COUNTIF($F$2:F53,F53)&gt;1,"订单号重复","")))))</x:f>
      </x:c>
      <x:c r="I53" s="30" t="n">
        <x:f>IF(OR(B53="",H53&lt;&gt;""),0,D53)</x:f>
        <x:v>0</x:v>
      </x:c>
      <x:c r="J53" s="30" t="n">
        <x:f>IF(OR(B53="",H53&lt;&gt;""),0,G53)</x:f>
        <x:v>0</x:v>
      </x:c>
      <x:c r="K53" s="29" t="n">
        <x:f>IF(B53="",0,IF(H53="",0,1))</x:f>
        <x:v>0</x:v>
      </x:c>
    </x:row>
    <x:row r="54">
      <x:c r="A54" s="32"/>
      <x:c r="B54" s="16"/>
      <x:c r="C54" s="33" t="str">
        <x:f>IFERROR(VLOOKUP(B54,'商品映射'!$A$2:$B$50,2,FALSE),"待补映射")</x:f>
      </x:c>
      <x:c r="D54" s="34"/>
      <x:c r="E54" s="35"/>
      <x:c r="F54" s="16"/>
      <x:c r="G54" s="36" t="n">
        <x:f>IF(OR(D54&lt;=0,E54&lt;=0),0,D54*E54)</x:f>
        <x:v>0</x:v>
      </x:c>
      <x:c r="H54" s="33" t="str">
        <x:f>IF(B54="","",IF(C54="待补映射","未匹配商品",IF(D54&lt;=0,"数量异常",IF(E54&lt;=0,"单价异常",IF(COUNTIF($F$2:F54,F54)&gt;1,"订单号重复","")))))</x:f>
      </x:c>
      <x:c r="I54" s="30" t="n">
        <x:f>IF(OR(B54="",H54&lt;&gt;""),0,D54)</x:f>
        <x:v>0</x:v>
      </x:c>
      <x:c r="J54" s="30" t="n">
        <x:f>IF(OR(B54="",H54&lt;&gt;""),0,G54)</x:f>
        <x:v>0</x:v>
      </x:c>
      <x:c r="K54" s="29" t="n">
        <x:f>IF(B54="",0,IF(H54="",0,1))</x:f>
        <x:v>0</x:v>
      </x:c>
    </x:row>
    <x:row r="55">
      <x:c r="A55" s="32"/>
      <x:c r="B55" s="16"/>
      <x:c r="C55" s="33" t="str">
        <x:f>IFERROR(VLOOKUP(B55,'商品映射'!$A$2:$B$50,2,FALSE),"待补映射")</x:f>
      </x:c>
      <x:c r="D55" s="34"/>
      <x:c r="E55" s="35"/>
      <x:c r="F55" s="16"/>
      <x:c r="G55" s="36" t="n">
        <x:f>IF(OR(D55&lt;=0,E55&lt;=0),0,D55*E55)</x:f>
        <x:v>0</x:v>
      </x:c>
      <x:c r="H55" s="33" t="str">
        <x:f>IF(B55="","",IF(C55="待补映射","未匹配商品",IF(D55&lt;=0,"数量异常",IF(E55&lt;=0,"单价异常",IF(COUNTIF($F$2:F55,F55)&gt;1,"订单号重复","")))))</x:f>
      </x:c>
      <x:c r="I55" s="30" t="n">
        <x:f>IF(OR(B55="",H55&lt;&gt;""),0,D55)</x:f>
        <x:v>0</x:v>
      </x:c>
      <x:c r="J55" s="30" t="n">
        <x:f>IF(OR(B55="",H55&lt;&gt;""),0,G55)</x:f>
        <x:v>0</x:v>
      </x:c>
      <x:c r="K55" s="29" t="n">
        <x:f>IF(B55="",0,IF(H55="",0,1))</x:f>
        <x:v>0</x:v>
      </x:c>
    </x:row>
    <x:row r="56">
      <x:c r="A56" s="32"/>
      <x:c r="B56" s="16"/>
      <x:c r="C56" s="33" t="str">
        <x:f>IFERROR(VLOOKUP(B56,'商品映射'!$A$2:$B$50,2,FALSE),"待补映射")</x:f>
      </x:c>
      <x:c r="D56" s="34"/>
      <x:c r="E56" s="35"/>
      <x:c r="F56" s="16"/>
      <x:c r="G56" s="36" t="n">
        <x:f>IF(OR(D56&lt;=0,E56&lt;=0),0,D56*E56)</x:f>
        <x:v>0</x:v>
      </x:c>
      <x:c r="H56" s="33" t="str">
        <x:f>IF(B56="","",IF(C56="待补映射","未匹配商品",IF(D56&lt;=0,"数量异常",IF(E56&lt;=0,"单价异常",IF(COUNTIF($F$2:F56,F56)&gt;1,"订单号重复","")))))</x:f>
      </x:c>
      <x:c r="I56" s="30" t="n">
        <x:f>IF(OR(B56="",H56&lt;&gt;""),0,D56)</x:f>
        <x:v>0</x:v>
      </x:c>
      <x:c r="J56" s="30" t="n">
        <x:f>IF(OR(B56="",H56&lt;&gt;""),0,G56)</x:f>
        <x:v>0</x:v>
      </x:c>
      <x:c r="K56" s="29" t="n">
        <x:f>IF(B56="",0,IF(H56="",0,1))</x:f>
        <x:v>0</x:v>
      </x:c>
    </x:row>
    <x:row r="57">
      <x:c r="A57" s="32"/>
      <x:c r="B57" s="16"/>
      <x:c r="C57" s="33" t="str">
        <x:f>IFERROR(VLOOKUP(B57,'商品映射'!$A$2:$B$50,2,FALSE),"待补映射")</x:f>
      </x:c>
      <x:c r="D57" s="34"/>
      <x:c r="E57" s="35"/>
      <x:c r="F57" s="16"/>
      <x:c r="G57" s="36" t="n">
        <x:f>IF(OR(D57&lt;=0,E57&lt;=0),0,D57*E57)</x:f>
        <x:v>0</x:v>
      </x:c>
      <x:c r="H57" s="33" t="str">
        <x:f>IF(B57="","",IF(C57="待补映射","未匹配商品",IF(D57&lt;=0,"数量异常",IF(E57&lt;=0,"单价异常",IF(COUNTIF($F$2:F57,F57)&gt;1,"订单号重复","")))))</x:f>
      </x:c>
      <x:c r="I57" s="30" t="n">
        <x:f>IF(OR(B57="",H57&lt;&gt;""),0,D57)</x:f>
        <x:v>0</x:v>
      </x:c>
      <x:c r="J57" s="30" t="n">
        <x:f>IF(OR(B57="",H57&lt;&gt;""),0,G57)</x:f>
        <x:v>0</x:v>
      </x:c>
      <x:c r="K57" s="29" t="n">
        <x:f>IF(B57="",0,IF(H57="",0,1))</x:f>
        <x:v>0</x:v>
      </x:c>
    </x:row>
    <x:row r="58">
      <x:c r="A58" s="32"/>
      <x:c r="B58" s="16"/>
      <x:c r="C58" s="33" t="str">
        <x:f>IFERROR(VLOOKUP(B58,'商品映射'!$A$2:$B$50,2,FALSE),"待补映射")</x:f>
      </x:c>
      <x:c r="D58" s="34"/>
      <x:c r="E58" s="35"/>
      <x:c r="F58" s="16"/>
      <x:c r="G58" s="36" t="n">
        <x:f>IF(OR(D58&lt;=0,E58&lt;=0),0,D58*E58)</x:f>
        <x:v>0</x:v>
      </x:c>
      <x:c r="H58" s="33" t="str">
        <x:f>IF(B58="","",IF(C58="待补映射","未匹配商品",IF(D58&lt;=0,"数量异常",IF(E58&lt;=0,"单价异常",IF(COUNTIF($F$2:F58,F58)&gt;1,"订单号重复","")))))</x:f>
      </x:c>
      <x:c r="I58" s="30" t="n">
        <x:f>IF(OR(B58="",H58&lt;&gt;""),0,D58)</x:f>
        <x:v>0</x:v>
      </x:c>
      <x:c r="J58" s="30" t="n">
        <x:f>IF(OR(B58="",H58&lt;&gt;""),0,G58)</x:f>
        <x:v>0</x:v>
      </x:c>
      <x:c r="K58" s="29" t="n">
        <x:f>IF(B58="",0,IF(H58="",0,1))</x:f>
        <x:v>0</x:v>
      </x:c>
    </x:row>
    <x:row r="59">
      <x:c r="A59" s="32"/>
      <x:c r="B59" s="16"/>
      <x:c r="C59" s="33" t="str">
        <x:f>IFERROR(VLOOKUP(B59,'商品映射'!$A$2:$B$50,2,FALSE),"待补映射")</x:f>
      </x:c>
      <x:c r="D59" s="34"/>
      <x:c r="E59" s="35"/>
      <x:c r="F59" s="16"/>
      <x:c r="G59" s="36" t="n">
        <x:f>IF(OR(D59&lt;=0,E59&lt;=0),0,D59*E59)</x:f>
        <x:v>0</x:v>
      </x:c>
      <x:c r="H59" s="33" t="str">
        <x:f>IF(B59="","",IF(C59="待补映射","未匹配商品",IF(D59&lt;=0,"数量异常",IF(E59&lt;=0,"单价异常",IF(COUNTIF($F$2:F59,F59)&gt;1,"订单号重复","")))))</x:f>
      </x:c>
      <x:c r="I59" s="30" t="n">
        <x:f>IF(OR(B59="",H59&lt;&gt;""),0,D59)</x:f>
        <x:v>0</x:v>
      </x:c>
      <x:c r="J59" s="30" t="n">
        <x:f>IF(OR(B59="",H59&lt;&gt;""),0,G59)</x:f>
        <x:v>0</x:v>
      </x:c>
      <x:c r="K59" s="29" t="n">
        <x:f>IF(B59="",0,IF(H59="",0,1))</x:f>
        <x:v>0</x:v>
      </x:c>
    </x:row>
    <x:row r="60">
      <x:c r="A60" s="32"/>
      <x:c r="B60" s="16"/>
      <x:c r="C60" s="33" t="str">
        <x:f>IFERROR(VLOOKUP(B60,'商品映射'!$A$2:$B$50,2,FALSE),"待补映射")</x:f>
      </x:c>
      <x:c r="D60" s="34"/>
      <x:c r="E60" s="35"/>
      <x:c r="F60" s="16"/>
      <x:c r="G60" s="36" t="n">
        <x:f>IF(OR(D60&lt;=0,E60&lt;=0),0,D60*E60)</x:f>
        <x:v>0</x:v>
      </x:c>
      <x:c r="H60" s="33" t="str">
        <x:f>IF(B60="","",IF(C60="待补映射","未匹配商品",IF(D60&lt;=0,"数量异常",IF(E60&lt;=0,"单价异常",IF(COUNTIF($F$2:F60,F60)&gt;1,"订单号重复","")))))</x:f>
      </x:c>
      <x:c r="I60" s="30" t="n">
        <x:f>IF(OR(B60="",H60&lt;&gt;""),0,D60)</x:f>
        <x:v>0</x:v>
      </x:c>
      <x:c r="J60" s="30" t="n">
        <x:f>IF(OR(B60="",H60&lt;&gt;""),0,G60)</x:f>
        <x:v>0</x:v>
      </x:c>
      <x:c r="K60" s="29" t="n">
        <x:f>IF(B60="",0,IF(H60="",0,1))</x:f>
        <x:v>0</x:v>
      </x:c>
    </x:row>
    <x:row r="61">
      <x:c r="A61" s="32"/>
      <x:c r="B61" s="16"/>
      <x:c r="C61" s="33" t="str">
        <x:f>IFERROR(VLOOKUP(B61,'商品映射'!$A$2:$B$50,2,FALSE),"待补映射")</x:f>
      </x:c>
      <x:c r="D61" s="34"/>
      <x:c r="E61" s="35"/>
      <x:c r="F61" s="16"/>
      <x:c r="G61" s="36" t="n">
        <x:f>IF(OR(D61&lt;=0,E61&lt;=0),0,D61*E61)</x:f>
        <x:v>0</x:v>
      </x:c>
      <x:c r="H61" s="33" t="str">
        <x:f>IF(B61="","",IF(C61="待补映射","未匹配商品",IF(D61&lt;=0,"数量异常",IF(E61&lt;=0,"单价异常",IF(COUNTIF($F$2:F61,F61)&gt;1,"订单号重复","")))))</x:f>
      </x:c>
      <x:c r="I61" s="30" t="n">
        <x:f>IF(OR(B61="",H61&lt;&gt;""),0,D61)</x:f>
        <x:v>0</x:v>
      </x:c>
      <x:c r="J61" s="30" t="n">
        <x:f>IF(OR(B61="",H61&lt;&gt;""),0,G61)</x:f>
        <x:v>0</x:v>
      </x:c>
      <x:c r="K61" s="29" t="n">
        <x:f>IF(B61="",0,IF(H61="",0,1))</x:f>
        <x:v>0</x:v>
      </x:c>
    </x:row>
    <x:row r="62">
      <x:c r="A62" s="32"/>
      <x:c r="B62" s="16"/>
      <x:c r="C62" s="33" t="str">
        <x:f>IFERROR(VLOOKUP(B62,'商品映射'!$A$2:$B$50,2,FALSE),"待补映射")</x:f>
      </x:c>
      <x:c r="D62" s="34"/>
      <x:c r="E62" s="35"/>
      <x:c r="F62" s="16"/>
      <x:c r="G62" s="36" t="n">
        <x:f>IF(OR(D62&lt;=0,E62&lt;=0),0,D62*E62)</x:f>
        <x:v>0</x:v>
      </x:c>
      <x:c r="H62" s="33" t="str">
        <x:f>IF(B62="","",IF(C62="待补映射","未匹配商品",IF(D62&lt;=0,"数量异常",IF(E62&lt;=0,"单价异常",IF(COUNTIF($F$2:F62,F62)&gt;1,"订单号重复","")))))</x:f>
      </x:c>
      <x:c r="I62" s="30" t="n">
        <x:f>IF(OR(B62="",H62&lt;&gt;""),0,D62)</x:f>
        <x:v>0</x:v>
      </x:c>
      <x:c r="J62" s="30" t="n">
        <x:f>IF(OR(B62="",H62&lt;&gt;""),0,G62)</x:f>
        <x:v>0</x:v>
      </x:c>
      <x:c r="K62" s="29" t="n">
        <x:f>IF(B62="",0,IF(H62="",0,1))</x:f>
        <x:v>0</x:v>
      </x:c>
    </x:row>
    <x:row r="63">
      <x:c r="A63" s="32"/>
      <x:c r="B63" s="16"/>
      <x:c r="C63" s="33" t="str">
        <x:f>IFERROR(VLOOKUP(B63,'商品映射'!$A$2:$B$50,2,FALSE),"待补映射")</x:f>
      </x:c>
      <x:c r="D63" s="34"/>
      <x:c r="E63" s="35"/>
      <x:c r="F63" s="16"/>
      <x:c r="G63" s="36" t="n">
        <x:f>IF(OR(D63&lt;=0,E63&lt;=0),0,D63*E63)</x:f>
        <x:v>0</x:v>
      </x:c>
      <x:c r="H63" s="33" t="str">
        <x:f>IF(B63="","",IF(C63="待补映射","未匹配商品",IF(D63&lt;=0,"数量异常",IF(E63&lt;=0,"单价异常",IF(COUNTIF($F$2:F63,F63)&gt;1,"订单号重复","")))))</x:f>
      </x:c>
      <x:c r="I63" s="30" t="n">
        <x:f>IF(OR(B63="",H63&lt;&gt;""),0,D63)</x:f>
        <x:v>0</x:v>
      </x:c>
      <x:c r="J63" s="30" t="n">
        <x:f>IF(OR(B63="",H63&lt;&gt;""),0,G63)</x:f>
        <x:v>0</x:v>
      </x:c>
      <x:c r="K63" s="29" t="n">
        <x:f>IF(B63="",0,IF(H63="",0,1))</x:f>
        <x:v>0</x:v>
      </x:c>
    </x:row>
    <x:row r="64">
      <x:c r="A64" s="32"/>
      <x:c r="B64" s="16"/>
      <x:c r="C64" s="33" t="str">
        <x:f>IFERROR(VLOOKUP(B64,'商品映射'!$A$2:$B$50,2,FALSE),"待补映射")</x:f>
      </x:c>
      <x:c r="D64" s="34"/>
      <x:c r="E64" s="35"/>
      <x:c r="F64" s="16"/>
      <x:c r="G64" s="36" t="n">
        <x:f>IF(OR(D64&lt;=0,E64&lt;=0),0,D64*E64)</x:f>
        <x:v>0</x:v>
      </x:c>
      <x:c r="H64" s="33" t="str">
        <x:f>IF(B64="","",IF(C64="待补映射","未匹配商品",IF(D64&lt;=0,"数量异常",IF(E64&lt;=0,"单价异常",IF(COUNTIF($F$2:F64,F64)&gt;1,"订单号重复","")))))</x:f>
      </x:c>
      <x:c r="I64" s="30" t="n">
        <x:f>IF(OR(B64="",H64&lt;&gt;""),0,D64)</x:f>
        <x:v>0</x:v>
      </x:c>
      <x:c r="J64" s="30" t="n">
        <x:f>IF(OR(B64="",H64&lt;&gt;""),0,G64)</x:f>
        <x:v>0</x:v>
      </x:c>
      <x:c r="K64" s="29" t="n">
        <x:f>IF(B64="",0,IF(H64="",0,1))</x:f>
        <x:v>0</x:v>
      </x:c>
    </x:row>
    <x:row r="65">
      <x:c r="A65" s="32"/>
      <x:c r="B65" s="16"/>
      <x:c r="C65" s="33" t="str">
        <x:f>IFERROR(VLOOKUP(B65,'商品映射'!$A$2:$B$50,2,FALSE),"待补映射")</x:f>
      </x:c>
      <x:c r="D65" s="34"/>
      <x:c r="E65" s="35"/>
      <x:c r="F65" s="16"/>
      <x:c r="G65" s="36" t="n">
        <x:f>IF(OR(D65&lt;=0,E65&lt;=0),0,D65*E65)</x:f>
        <x:v>0</x:v>
      </x:c>
      <x:c r="H65" s="33" t="str">
        <x:f>IF(B65="","",IF(C65="待补映射","未匹配商品",IF(D65&lt;=0,"数量异常",IF(E65&lt;=0,"单价异常",IF(COUNTIF($F$2:F65,F65)&gt;1,"订单号重复","")))))</x:f>
      </x:c>
      <x:c r="I65" s="30" t="n">
        <x:f>IF(OR(B65="",H65&lt;&gt;""),0,D65)</x:f>
        <x:v>0</x:v>
      </x:c>
      <x:c r="J65" s="30" t="n">
        <x:f>IF(OR(B65="",H65&lt;&gt;""),0,G65)</x:f>
        <x:v>0</x:v>
      </x:c>
      <x:c r="K65" s="29" t="n">
        <x:f>IF(B65="",0,IF(H65="",0,1))</x:f>
        <x:v>0</x:v>
      </x:c>
    </x:row>
    <x:row r="66">
      <x:c r="A66" s="32"/>
      <x:c r="B66" s="16"/>
      <x:c r="C66" s="33" t="str">
        <x:f>IFERROR(VLOOKUP(B66,'商品映射'!$A$2:$B$50,2,FALSE),"待补映射")</x:f>
      </x:c>
      <x:c r="D66" s="34"/>
      <x:c r="E66" s="35"/>
      <x:c r="F66" s="16"/>
      <x:c r="G66" s="36" t="n">
        <x:f>IF(OR(D66&lt;=0,E66&lt;=0),0,D66*E66)</x:f>
        <x:v>0</x:v>
      </x:c>
      <x:c r="H66" s="33" t="str">
        <x:f>IF(B66="","",IF(C66="待补映射","未匹配商品",IF(D66&lt;=0,"数量异常",IF(E66&lt;=0,"单价异常",IF(COUNTIF($F$2:F66,F66)&gt;1,"订单号重复","")))))</x:f>
      </x:c>
      <x:c r="I66" s="30" t="n">
        <x:f>IF(OR(B66="",H66&lt;&gt;""),0,D66)</x:f>
        <x:v>0</x:v>
      </x:c>
      <x:c r="J66" s="30" t="n">
        <x:f>IF(OR(B66="",H66&lt;&gt;""),0,G66)</x:f>
        <x:v>0</x:v>
      </x:c>
      <x:c r="K66" s="29" t="n">
        <x:f>IF(B66="",0,IF(H66="",0,1))</x:f>
        <x:v>0</x:v>
      </x:c>
    </x:row>
    <x:row r="67">
      <x:c r="A67" s="32"/>
      <x:c r="B67" s="16"/>
      <x:c r="C67" s="33" t="str">
        <x:f>IFERROR(VLOOKUP(B67,'商品映射'!$A$2:$B$50,2,FALSE),"待补映射")</x:f>
      </x:c>
      <x:c r="D67" s="34"/>
      <x:c r="E67" s="35"/>
      <x:c r="F67" s="16"/>
      <x:c r="G67" s="36" t="n">
        <x:f>IF(OR(D67&lt;=0,E67&lt;=0),0,D67*E67)</x:f>
        <x:v>0</x:v>
      </x:c>
      <x:c r="H67" s="33" t="str">
        <x:f>IF(B67="","",IF(C67="待补映射","未匹配商品",IF(D67&lt;=0,"数量异常",IF(E67&lt;=0,"单价异常",IF(COUNTIF($F$2:F67,F67)&gt;1,"订单号重复","")))))</x:f>
      </x:c>
      <x:c r="I67" s="30" t="n">
        <x:f>IF(OR(B67="",H67&lt;&gt;""),0,D67)</x:f>
        <x:v>0</x:v>
      </x:c>
      <x:c r="J67" s="30" t="n">
        <x:f>IF(OR(B67="",H67&lt;&gt;""),0,G67)</x:f>
        <x:v>0</x:v>
      </x:c>
      <x:c r="K67" s="29" t="n">
        <x:f>IF(B67="",0,IF(H67="",0,1))</x:f>
        <x:v>0</x:v>
      </x:c>
    </x:row>
    <x:row r="68">
      <x:c r="A68" s="32"/>
      <x:c r="B68" s="16"/>
      <x:c r="C68" s="33" t="str">
        <x:f>IFERROR(VLOOKUP(B68,'商品映射'!$A$2:$B$50,2,FALSE),"待补映射")</x:f>
      </x:c>
      <x:c r="D68" s="34"/>
      <x:c r="E68" s="35"/>
      <x:c r="F68" s="16"/>
      <x:c r="G68" s="36" t="n">
        <x:f>IF(OR(D68&lt;=0,E68&lt;=0),0,D68*E68)</x:f>
        <x:v>0</x:v>
      </x:c>
      <x:c r="H68" s="33" t="str">
        <x:f>IF(B68="","",IF(C68="待补映射","未匹配商品",IF(D68&lt;=0,"数量异常",IF(E68&lt;=0,"单价异常",IF(COUNTIF($F$2:F68,F68)&gt;1,"订单号重复","")))))</x:f>
      </x:c>
      <x:c r="I68" s="30" t="n">
        <x:f>IF(OR(B68="",H68&lt;&gt;""),0,D68)</x:f>
        <x:v>0</x:v>
      </x:c>
      <x:c r="J68" s="30" t="n">
        <x:f>IF(OR(B68="",H68&lt;&gt;""),0,G68)</x:f>
        <x:v>0</x:v>
      </x:c>
      <x:c r="K68" s="29" t="n">
        <x:f>IF(B68="",0,IF(H68="",0,1))</x:f>
        <x:v>0</x:v>
      </x:c>
    </x:row>
    <x:row r="69">
      <x:c r="A69" s="32"/>
      <x:c r="B69" s="16"/>
      <x:c r="C69" s="33" t="str">
        <x:f>IFERROR(VLOOKUP(B69,'商品映射'!$A$2:$B$50,2,FALSE),"待补映射")</x:f>
      </x:c>
      <x:c r="D69" s="34"/>
      <x:c r="E69" s="35"/>
      <x:c r="F69" s="16"/>
      <x:c r="G69" s="36" t="n">
        <x:f>IF(OR(D69&lt;=0,E69&lt;=0),0,D69*E69)</x:f>
        <x:v>0</x:v>
      </x:c>
      <x:c r="H69" s="33" t="str">
        <x:f>IF(B69="","",IF(C69="待补映射","未匹配商品",IF(D69&lt;=0,"数量异常",IF(E69&lt;=0,"单价异常",IF(COUNTIF($F$2:F69,F69)&gt;1,"订单号重复","")))))</x:f>
      </x:c>
      <x:c r="I69" s="30" t="n">
        <x:f>IF(OR(B69="",H69&lt;&gt;""),0,D69)</x:f>
        <x:v>0</x:v>
      </x:c>
      <x:c r="J69" s="30" t="n">
        <x:f>IF(OR(B69="",H69&lt;&gt;""),0,G69)</x:f>
        <x:v>0</x:v>
      </x:c>
      <x:c r="K69" s="29" t="n">
        <x:f>IF(B69="",0,IF(H69="",0,1))</x:f>
        <x:v>0</x:v>
      </x:c>
    </x:row>
    <x:row r="70">
      <x:c r="A70" s="32"/>
      <x:c r="B70" s="16"/>
      <x:c r="C70" s="33" t="str">
        <x:f>IFERROR(VLOOKUP(B70,'商品映射'!$A$2:$B$50,2,FALSE),"待补映射")</x:f>
      </x:c>
      <x:c r="D70" s="34"/>
      <x:c r="E70" s="35"/>
      <x:c r="F70" s="16"/>
      <x:c r="G70" s="36" t="n">
        <x:f>IF(OR(D70&lt;=0,E70&lt;=0),0,D70*E70)</x:f>
        <x:v>0</x:v>
      </x:c>
      <x:c r="H70" s="33" t="str">
        <x:f>IF(B70="","",IF(C70="待补映射","未匹配商品",IF(D70&lt;=0,"数量异常",IF(E70&lt;=0,"单价异常",IF(COUNTIF($F$2:F70,F70)&gt;1,"订单号重复","")))))</x:f>
      </x:c>
      <x:c r="I70" s="30" t="n">
        <x:f>IF(OR(B70="",H70&lt;&gt;""),0,D70)</x:f>
        <x:v>0</x:v>
      </x:c>
      <x:c r="J70" s="30" t="n">
        <x:f>IF(OR(B70="",H70&lt;&gt;""),0,G70)</x:f>
        <x:v>0</x:v>
      </x:c>
      <x:c r="K70" s="29" t="n">
        <x:f>IF(B70="",0,IF(H70="",0,1))</x:f>
        <x:v>0</x:v>
      </x:c>
    </x:row>
    <x:row r="71">
      <x:c r="A71" s="32"/>
      <x:c r="B71" s="16"/>
      <x:c r="C71" s="33" t="str">
        <x:f>IFERROR(VLOOKUP(B71,'商品映射'!$A$2:$B$50,2,FALSE),"待补映射")</x:f>
      </x:c>
      <x:c r="D71" s="34"/>
      <x:c r="E71" s="35"/>
      <x:c r="F71" s="16"/>
      <x:c r="G71" s="36" t="n">
        <x:f>IF(OR(D71&lt;=0,E71&lt;=0),0,D71*E71)</x:f>
        <x:v>0</x:v>
      </x:c>
      <x:c r="H71" s="33" t="str">
        <x:f>IF(B71="","",IF(C71="待补映射","未匹配商品",IF(D71&lt;=0,"数量异常",IF(E71&lt;=0,"单价异常",IF(COUNTIF($F$2:F71,F71)&gt;1,"订单号重复","")))))</x:f>
      </x:c>
      <x:c r="I71" s="30" t="n">
        <x:f>IF(OR(B71="",H71&lt;&gt;""),0,D71)</x:f>
        <x:v>0</x:v>
      </x:c>
      <x:c r="J71" s="30" t="n">
        <x:f>IF(OR(B71="",H71&lt;&gt;""),0,G71)</x:f>
        <x:v>0</x:v>
      </x:c>
      <x:c r="K71" s="29" t="n">
        <x:f>IF(B71="",0,IF(H71="",0,1))</x:f>
        <x:v>0</x:v>
      </x:c>
    </x:row>
    <x:row r="72">
      <x:c r="A72" s="32"/>
      <x:c r="B72" s="16"/>
      <x:c r="C72" s="33" t="str">
        <x:f>IFERROR(VLOOKUP(B72,'商品映射'!$A$2:$B$50,2,FALSE),"待补映射")</x:f>
      </x:c>
      <x:c r="D72" s="34"/>
      <x:c r="E72" s="35"/>
      <x:c r="F72" s="16"/>
      <x:c r="G72" s="36" t="n">
        <x:f>IF(OR(D72&lt;=0,E72&lt;=0),0,D72*E72)</x:f>
        <x:v>0</x:v>
      </x:c>
      <x:c r="H72" s="33" t="str">
        <x:f>IF(B72="","",IF(C72="待补映射","未匹配商品",IF(D72&lt;=0,"数量异常",IF(E72&lt;=0,"单价异常",IF(COUNTIF($F$2:F72,F72)&gt;1,"订单号重复","")))))</x:f>
      </x:c>
      <x:c r="I72" s="30" t="n">
        <x:f>IF(OR(B72="",H72&lt;&gt;""),0,D72)</x:f>
        <x:v>0</x:v>
      </x:c>
      <x:c r="J72" s="30" t="n">
        <x:f>IF(OR(B72="",H72&lt;&gt;""),0,G72)</x:f>
        <x:v>0</x:v>
      </x:c>
      <x:c r="K72" s="29" t="n">
        <x:f>IF(B72="",0,IF(H72="",0,1))</x:f>
        <x:v>0</x:v>
      </x:c>
    </x:row>
    <x:row r="73">
      <x:c r="A73" s="32"/>
      <x:c r="B73" s="16"/>
      <x:c r="C73" s="33" t="str">
        <x:f>IFERROR(VLOOKUP(B73,'商品映射'!$A$2:$B$50,2,FALSE),"待补映射")</x:f>
      </x:c>
      <x:c r="D73" s="34"/>
      <x:c r="E73" s="35"/>
      <x:c r="F73" s="16"/>
      <x:c r="G73" s="36" t="n">
        <x:f>IF(OR(D73&lt;=0,E73&lt;=0),0,D73*E73)</x:f>
        <x:v>0</x:v>
      </x:c>
      <x:c r="H73" s="33" t="str">
        <x:f>IF(B73="","",IF(C73="待补映射","未匹配商品",IF(D73&lt;=0,"数量异常",IF(E73&lt;=0,"单价异常",IF(COUNTIF($F$2:F73,F73)&gt;1,"订单号重复","")))))</x:f>
      </x:c>
      <x:c r="I73" s="30" t="n">
        <x:f>IF(OR(B73="",H73&lt;&gt;""),0,D73)</x:f>
        <x:v>0</x:v>
      </x:c>
      <x:c r="J73" s="30" t="n">
        <x:f>IF(OR(B73="",H73&lt;&gt;""),0,G73)</x:f>
        <x:v>0</x:v>
      </x:c>
      <x:c r="K73" s="29" t="n">
        <x:f>IF(B73="",0,IF(H73="",0,1))</x:f>
        <x:v>0</x:v>
      </x:c>
    </x:row>
    <x:row r="74">
      <x:c r="A74" s="32"/>
      <x:c r="B74" s="16"/>
      <x:c r="C74" s="33" t="str">
        <x:f>IFERROR(VLOOKUP(B74,'商品映射'!$A$2:$B$50,2,FALSE),"待补映射")</x:f>
      </x:c>
      <x:c r="D74" s="34"/>
      <x:c r="E74" s="35"/>
      <x:c r="F74" s="16"/>
      <x:c r="G74" s="36" t="n">
        <x:f>IF(OR(D74&lt;=0,E74&lt;=0),0,D74*E74)</x:f>
        <x:v>0</x:v>
      </x:c>
      <x:c r="H74" s="33" t="str">
        <x:f>IF(B74="","",IF(C74="待补映射","未匹配商品",IF(D74&lt;=0,"数量异常",IF(E74&lt;=0,"单价异常",IF(COUNTIF($F$2:F74,F74)&gt;1,"订单号重复","")))))</x:f>
      </x:c>
      <x:c r="I74" s="30" t="n">
        <x:f>IF(OR(B74="",H74&lt;&gt;""),0,D74)</x:f>
        <x:v>0</x:v>
      </x:c>
      <x:c r="J74" s="30" t="n">
        <x:f>IF(OR(B74="",H74&lt;&gt;""),0,G74)</x:f>
        <x:v>0</x:v>
      </x:c>
      <x:c r="K74" s="29" t="n">
        <x:f>IF(B74="",0,IF(H74="",0,1))</x:f>
        <x:v>0</x:v>
      </x:c>
    </x:row>
    <x:row r="75">
      <x:c r="A75" s="32"/>
      <x:c r="B75" s="16"/>
      <x:c r="C75" s="33" t="str">
        <x:f>IFERROR(VLOOKUP(B75,'商品映射'!$A$2:$B$50,2,FALSE),"待补映射")</x:f>
      </x:c>
      <x:c r="D75" s="34"/>
      <x:c r="E75" s="35"/>
      <x:c r="F75" s="16"/>
      <x:c r="G75" s="36" t="n">
        <x:f>IF(OR(D75&lt;=0,E75&lt;=0),0,D75*E75)</x:f>
        <x:v>0</x:v>
      </x:c>
      <x:c r="H75" s="33" t="str">
        <x:f>IF(B75="","",IF(C75="待补映射","未匹配商品",IF(D75&lt;=0,"数量异常",IF(E75&lt;=0,"单价异常",IF(COUNTIF($F$2:F75,F75)&gt;1,"订单号重复","")))))</x:f>
      </x:c>
      <x:c r="I75" s="30" t="n">
        <x:f>IF(OR(B75="",H75&lt;&gt;""),0,D75)</x:f>
        <x:v>0</x:v>
      </x:c>
      <x:c r="J75" s="30" t="n">
        <x:f>IF(OR(B75="",H75&lt;&gt;""),0,G75)</x:f>
        <x:v>0</x:v>
      </x:c>
      <x:c r="K75" s="29" t="n">
        <x:f>IF(B75="",0,IF(H75="",0,1))</x:f>
        <x:v>0</x:v>
      </x:c>
    </x:row>
    <x:row r="76">
      <x:c r="A76" s="32"/>
      <x:c r="B76" s="16"/>
      <x:c r="C76" s="33" t="str">
        <x:f>IFERROR(VLOOKUP(B76,'商品映射'!$A$2:$B$50,2,FALSE),"待补映射")</x:f>
      </x:c>
      <x:c r="D76" s="34"/>
      <x:c r="E76" s="35"/>
      <x:c r="F76" s="16"/>
      <x:c r="G76" s="36" t="n">
        <x:f>IF(OR(D76&lt;=0,E76&lt;=0),0,D76*E76)</x:f>
        <x:v>0</x:v>
      </x:c>
      <x:c r="H76" s="33" t="str">
        <x:f>IF(B76="","",IF(C76="待补映射","未匹配商品",IF(D76&lt;=0,"数量异常",IF(E76&lt;=0,"单价异常",IF(COUNTIF($F$2:F76,F76)&gt;1,"订单号重复","")))))</x:f>
      </x:c>
      <x:c r="I76" s="30" t="n">
        <x:f>IF(OR(B76="",H76&lt;&gt;""),0,D76)</x:f>
        <x:v>0</x:v>
      </x:c>
      <x:c r="J76" s="30" t="n">
        <x:f>IF(OR(B76="",H76&lt;&gt;""),0,G76)</x:f>
        <x:v>0</x:v>
      </x:c>
      <x:c r="K76" s="29" t="n">
        <x:f>IF(B76="",0,IF(H76="",0,1))</x:f>
        <x:v>0</x:v>
      </x:c>
    </x:row>
    <x:row r="77">
      <x:c r="A77" s="32"/>
      <x:c r="B77" s="16"/>
      <x:c r="C77" s="33" t="str">
        <x:f>IFERROR(VLOOKUP(B77,'商品映射'!$A$2:$B$50,2,FALSE),"待补映射")</x:f>
      </x:c>
      <x:c r="D77" s="34"/>
      <x:c r="E77" s="35"/>
      <x:c r="F77" s="16"/>
      <x:c r="G77" s="36" t="n">
        <x:f>IF(OR(D77&lt;=0,E77&lt;=0),0,D77*E77)</x:f>
        <x:v>0</x:v>
      </x:c>
      <x:c r="H77" s="33" t="str">
        <x:f>IF(B77="","",IF(C77="待补映射","未匹配商品",IF(D77&lt;=0,"数量异常",IF(E77&lt;=0,"单价异常",IF(COUNTIF($F$2:F77,F77)&gt;1,"订单号重复","")))))</x:f>
      </x:c>
      <x:c r="I77" s="30" t="n">
        <x:f>IF(OR(B77="",H77&lt;&gt;""),0,D77)</x:f>
        <x:v>0</x:v>
      </x:c>
      <x:c r="J77" s="30" t="n">
        <x:f>IF(OR(B77="",H77&lt;&gt;""),0,G77)</x:f>
        <x:v>0</x:v>
      </x:c>
      <x:c r="K77" s="29" t="n">
        <x:f>IF(B77="",0,IF(H77="",0,1))</x:f>
        <x:v>0</x:v>
      </x:c>
    </x:row>
    <x:row r="78">
      <x:c r="A78" s="32"/>
      <x:c r="B78" s="16"/>
      <x:c r="C78" s="33" t="str">
        <x:f>IFERROR(VLOOKUP(B78,'商品映射'!$A$2:$B$50,2,FALSE),"待补映射")</x:f>
      </x:c>
      <x:c r="D78" s="34"/>
      <x:c r="E78" s="35"/>
      <x:c r="F78" s="16"/>
      <x:c r="G78" s="36" t="n">
        <x:f>IF(OR(D78&lt;=0,E78&lt;=0),0,D78*E78)</x:f>
        <x:v>0</x:v>
      </x:c>
      <x:c r="H78" s="33" t="str">
        <x:f>IF(B78="","",IF(C78="待补映射","未匹配商品",IF(D78&lt;=0,"数量异常",IF(E78&lt;=0,"单价异常",IF(COUNTIF($F$2:F78,F78)&gt;1,"订单号重复","")))))</x:f>
      </x:c>
      <x:c r="I78" s="30" t="n">
        <x:f>IF(OR(B78="",H78&lt;&gt;""),0,D78)</x:f>
        <x:v>0</x:v>
      </x:c>
      <x:c r="J78" s="30" t="n">
        <x:f>IF(OR(B78="",H78&lt;&gt;""),0,G78)</x:f>
        <x:v>0</x:v>
      </x:c>
      <x:c r="K78" s="29" t="n">
        <x:f>IF(B78="",0,IF(H78="",0,1))</x:f>
        <x:v>0</x:v>
      </x:c>
    </x:row>
    <x:row r="79">
      <x:c r="A79" s="32"/>
      <x:c r="B79" s="16"/>
      <x:c r="C79" s="33" t="str">
        <x:f>IFERROR(VLOOKUP(B79,'商品映射'!$A$2:$B$50,2,FALSE),"待补映射")</x:f>
      </x:c>
      <x:c r="D79" s="34"/>
      <x:c r="E79" s="35"/>
      <x:c r="F79" s="16"/>
      <x:c r="G79" s="36" t="n">
        <x:f>IF(OR(D79&lt;=0,E79&lt;=0),0,D79*E79)</x:f>
        <x:v>0</x:v>
      </x:c>
      <x:c r="H79" s="33" t="str">
        <x:f>IF(B79="","",IF(C79="待补映射","未匹配商品",IF(D79&lt;=0,"数量异常",IF(E79&lt;=0,"单价异常",IF(COUNTIF($F$2:F79,F79)&gt;1,"订单号重复","")))))</x:f>
      </x:c>
      <x:c r="I79" s="30" t="n">
        <x:f>IF(OR(B79="",H79&lt;&gt;""),0,D79)</x:f>
        <x:v>0</x:v>
      </x:c>
      <x:c r="J79" s="30" t="n">
        <x:f>IF(OR(B79="",H79&lt;&gt;""),0,G79)</x:f>
        <x:v>0</x:v>
      </x:c>
      <x:c r="K79" s="29" t="n">
        <x:f>IF(B79="",0,IF(H79="",0,1))</x:f>
        <x:v>0</x:v>
      </x:c>
    </x:row>
    <x:row r="80">
      <x:c r="A80" s="32"/>
      <x:c r="B80" s="16"/>
      <x:c r="C80" s="33" t="str">
        <x:f>IFERROR(VLOOKUP(B80,'商品映射'!$A$2:$B$50,2,FALSE),"待补映射")</x:f>
      </x:c>
      <x:c r="D80" s="34"/>
      <x:c r="E80" s="35"/>
      <x:c r="F80" s="16"/>
      <x:c r="G80" s="36" t="n">
        <x:f>IF(OR(D80&lt;=0,E80&lt;=0),0,D80*E80)</x:f>
        <x:v>0</x:v>
      </x:c>
      <x:c r="H80" s="33" t="str">
        <x:f>IF(B80="","",IF(C80="待补映射","未匹配商品",IF(D80&lt;=0,"数量异常",IF(E80&lt;=0,"单价异常",IF(COUNTIF($F$2:F80,F80)&gt;1,"订单号重复","")))))</x:f>
      </x:c>
      <x:c r="I80" s="30" t="n">
        <x:f>IF(OR(B80="",H80&lt;&gt;""),0,D80)</x:f>
        <x:v>0</x:v>
      </x:c>
      <x:c r="J80" s="30" t="n">
        <x:f>IF(OR(B80="",H80&lt;&gt;""),0,G80)</x:f>
        <x:v>0</x:v>
      </x:c>
      <x:c r="K80" s="29" t="n">
        <x:f>IF(B80="",0,IF(H80="",0,1))</x:f>
        <x:v>0</x:v>
      </x:c>
    </x:row>
    <x:row r="81">
      <x:c r="A81" s="32"/>
      <x:c r="B81" s="16"/>
      <x:c r="C81" s="33" t="str">
        <x:f>IFERROR(VLOOKUP(B81,'商品映射'!$A$2:$B$50,2,FALSE),"待补映射")</x:f>
      </x:c>
      <x:c r="D81" s="34"/>
      <x:c r="E81" s="35"/>
      <x:c r="F81" s="16"/>
      <x:c r="G81" s="36" t="n">
        <x:f>IF(OR(D81&lt;=0,E81&lt;=0),0,D81*E81)</x:f>
        <x:v>0</x:v>
      </x:c>
      <x:c r="H81" s="33" t="str">
        <x:f>IF(B81="","",IF(C81="待补映射","未匹配商品",IF(D81&lt;=0,"数量异常",IF(E81&lt;=0,"单价异常",IF(COUNTIF($F$2:F81,F81)&gt;1,"订单号重复","")))))</x:f>
      </x:c>
      <x:c r="I81" s="30" t="n">
        <x:f>IF(OR(B81="",H81&lt;&gt;""),0,D81)</x:f>
        <x:v>0</x:v>
      </x:c>
      <x:c r="J81" s="30" t="n">
        <x:f>IF(OR(B81="",H81&lt;&gt;""),0,G81)</x:f>
        <x:v>0</x:v>
      </x:c>
      <x:c r="K81" s="29" t="n">
        <x:f>IF(B81="",0,IF(H81="",0,1))</x:f>
        <x:v>0</x:v>
      </x:c>
    </x:row>
    <x:row r="82">
      <x:c r="A82" s="32"/>
      <x:c r="B82" s="16"/>
      <x:c r="C82" s="33" t="str">
        <x:f>IFERROR(VLOOKUP(B82,'商品映射'!$A$2:$B$50,2,FALSE),"待补映射")</x:f>
      </x:c>
      <x:c r="D82" s="34"/>
      <x:c r="E82" s="35"/>
      <x:c r="F82" s="16"/>
      <x:c r="G82" s="36" t="n">
        <x:f>IF(OR(D82&lt;=0,E82&lt;=0),0,D82*E82)</x:f>
        <x:v>0</x:v>
      </x:c>
      <x:c r="H82" s="33" t="str">
        <x:f>IF(B82="","",IF(C82="待补映射","未匹配商品",IF(D82&lt;=0,"数量异常",IF(E82&lt;=0,"单价异常",IF(COUNTIF($F$2:F82,F82)&gt;1,"订单号重复","")))))</x:f>
      </x:c>
      <x:c r="I82" s="30" t="n">
        <x:f>IF(OR(B82="",H82&lt;&gt;""),0,D82)</x:f>
        <x:v>0</x:v>
      </x:c>
      <x:c r="J82" s="30" t="n">
        <x:f>IF(OR(B82="",H82&lt;&gt;""),0,G82)</x:f>
        <x:v>0</x:v>
      </x:c>
      <x:c r="K82" s="29" t="n">
        <x:f>IF(B82="",0,IF(H82="",0,1))</x:f>
        <x:v>0</x:v>
      </x:c>
    </x:row>
    <x:row r="83">
      <x:c r="A83" s="32"/>
      <x:c r="B83" s="16"/>
      <x:c r="C83" s="33" t="str">
        <x:f>IFERROR(VLOOKUP(B83,'商品映射'!$A$2:$B$50,2,FALSE),"待补映射")</x:f>
      </x:c>
      <x:c r="D83" s="34"/>
      <x:c r="E83" s="35"/>
      <x:c r="F83" s="16"/>
      <x:c r="G83" s="36" t="n">
        <x:f>IF(OR(D83&lt;=0,E83&lt;=0),0,D83*E83)</x:f>
        <x:v>0</x:v>
      </x:c>
      <x:c r="H83" s="33" t="str">
        <x:f>IF(B83="","",IF(C83="待补映射","未匹配商品",IF(D83&lt;=0,"数量异常",IF(E83&lt;=0,"单价异常",IF(COUNTIF($F$2:F83,F83)&gt;1,"订单号重复","")))))</x:f>
      </x:c>
      <x:c r="I83" s="30" t="n">
        <x:f>IF(OR(B83="",H83&lt;&gt;""),0,D83)</x:f>
        <x:v>0</x:v>
      </x:c>
      <x:c r="J83" s="30" t="n">
        <x:f>IF(OR(B83="",H83&lt;&gt;""),0,G83)</x:f>
        <x:v>0</x:v>
      </x:c>
      <x:c r="K83" s="29" t="n">
        <x:f>IF(B83="",0,IF(H83="",0,1))</x:f>
        <x:v>0</x:v>
      </x:c>
    </x:row>
    <x:row r="84">
      <x:c r="A84" s="32"/>
      <x:c r="B84" s="16"/>
      <x:c r="C84" s="33" t="str">
        <x:f>IFERROR(VLOOKUP(B84,'商品映射'!$A$2:$B$50,2,FALSE),"待补映射")</x:f>
      </x:c>
      <x:c r="D84" s="34"/>
      <x:c r="E84" s="35"/>
      <x:c r="F84" s="16"/>
      <x:c r="G84" s="36" t="n">
        <x:f>IF(OR(D84&lt;=0,E84&lt;=0),0,D84*E84)</x:f>
        <x:v>0</x:v>
      </x:c>
      <x:c r="H84" s="33" t="str">
        <x:f>IF(B84="","",IF(C84="待补映射","未匹配商品",IF(D84&lt;=0,"数量异常",IF(E84&lt;=0,"单价异常",IF(COUNTIF($F$2:F84,F84)&gt;1,"订单号重复","")))))</x:f>
      </x:c>
      <x:c r="I84" s="30" t="n">
        <x:f>IF(OR(B84="",H84&lt;&gt;""),0,D84)</x:f>
        <x:v>0</x:v>
      </x:c>
      <x:c r="J84" s="30" t="n">
        <x:f>IF(OR(B84="",H84&lt;&gt;""),0,G84)</x:f>
        <x:v>0</x:v>
      </x:c>
      <x:c r="K84" s="29" t="n">
        <x:f>IF(B84="",0,IF(H84="",0,1))</x:f>
        <x:v>0</x:v>
      </x:c>
    </x:row>
    <x:row r="85">
      <x:c r="A85" s="32"/>
      <x:c r="B85" s="16"/>
      <x:c r="C85" s="33" t="str">
        <x:f>IFERROR(VLOOKUP(B85,'商品映射'!$A$2:$B$50,2,FALSE),"待补映射")</x:f>
      </x:c>
      <x:c r="D85" s="34"/>
      <x:c r="E85" s="35"/>
      <x:c r="F85" s="16"/>
      <x:c r="G85" s="36" t="n">
        <x:f>IF(OR(D85&lt;=0,E85&lt;=0),0,D85*E85)</x:f>
        <x:v>0</x:v>
      </x:c>
      <x:c r="H85" s="33" t="str">
        <x:f>IF(B85="","",IF(C85="待补映射","未匹配商品",IF(D85&lt;=0,"数量异常",IF(E85&lt;=0,"单价异常",IF(COUNTIF($F$2:F85,F85)&gt;1,"订单号重复","")))))</x:f>
      </x:c>
      <x:c r="I85" s="30" t="n">
        <x:f>IF(OR(B85="",H85&lt;&gt;""),0,D85)</x:f>
        <x:v>0</x:v>
      </x:c>
      <x:c r="J85" s="30" t="n">
        <x:f>IF(OR(B85="",H85&lt;&gt;""),0,G85)</x:f>
        <x:v>0</x:v>
      </x:c>
      <x:c r="K85" s="29" t="n">
        <x:f>IF(B85="",0,IF(H85="",0,1))</x:f>
        <x:v>0</x:v>
      </x:c>
    </x:row>
    <x:row r="86">
      <x:c r="A86" s="32"/>
      <x:c r="B86" s="16"/>
      <x:c r="C86" s="33" t="str">
        <x:f>IFERROR(VLOOKUP(B86,'商品映射'!$A$2:$B$50,2,FALSE),"待补映射")</x:f>
      </x:c>
      <x:c r="D86" s="34"/>
      <x:c r="E86" s="35"/>
      <x:c r="F86" s="16"/>
      <x:c r="G86" s="36" t="n">
        <x:f>IF(OR(D86&lt;=0,E86&lt;=0),0,D86*E86)</x:f>
        <x:v>0</x:v>
      </x:c>
      <x:c r="H86" s="33" t="str">
        <x:f>IF(B86="","",IF(C86="待补映射","未匹配商品",IF(D86&lt;=0,"数量异常",IF(E86&lt;=0,"单价异常",IF(COUNTIF($F$2:F86,F86)&gt;1,"订单号重复","")))))</x:f>
      </x:c>
      <x:c r="I86" s="30" t="n">
        <x:f>IF(OR(B86="",H86&lt;&gt;""),0,D86)</x:f>
        <x:v>0</x:v>
      </x:c>
      <x:c r="J86" s="30" t="n">
        <x:f>IF(OR(B86="",H86&lt;&gt;""),0,G86)</x:f>
        <x:v>0</x:v>
      </x:c>
      <x:c r="K86" s="29" t="n">
        <x:f>IF(B86="",0,IF(H86="",0,1))</x:f>
        <x:v>0</x:v>
      </x:c>
    </x:row>
    <x:row r="87">
      <x:c r="A87" s="32"/>
      <x:c r="B87" s="16"/>
      <x:c r="C87" s="33" t="str">
        <x:f>IFERROR(VLOOKUP(B87,'商品映射'!$A$2:$B$50,2,FALSE),"待补映射")</x:f>
      </x:c>
      <x:c r="D87" s="34"/>
      <x:c r="E87" s="35"/>
      <x:c r="F87" s="16"/>
      <x:c r="G87" s="36" t="n">
        <x:f>IF(OR(D87&lt;=0,E87&lt;=0),0,D87*E87)</x:f>
        <x:v>0</x:v>
      </x:c>
      <x:c r="H87" s="33" t="str">
        <x:f>IF(B87="","",IF(C87="待补映射","未匹配商品",IF(D87&lt;=0,"数量异常",IF(E87&lt;=0,"单价异常",IF(COUNTIF($F$2:F87,F87)&gt;1,"订单号重复","")))))</x:f>
      </x:c>
      <x:c r="I87" s="30" t="n">
        <x:f>IF(OR(B87="",H87&lt;&gt;""),0,D87)</x:f>
        <x:v>0</x:v>
      </x:c>
      <x:c r="J87" s="30" t="n">
        <x:f>IF(OR(B87="",H87&lt;&gt;""),0,G87)</x:f>
        <x:v>0</x:v>
      </x:c>
      <x:c r="K87" s="29" t="n">
        <x:f>IF(B87="",0,IF(H87="",0,1))</x:f>
        <x:v>0</x:v>
      </x:c>
    </x:row>
    <x:row r="88">
      <x:c r="A88" s="32"/>
      <x:c r="B88" s="16"/>
      <x:c r="C88" s="33" t="str">
        <x:f>IFERROR(VLOOKUP(B88,'商品映射'!$A$2:$B$50,2,FALSE),"待补映射")</x:f>
      </x:c>
      <x:c r="D88" s="34"/>
      <x:c r="E88" s="35"/>
      <x:c r="F88" s="16"/>
      <x:c r="G88" s="36" t="n">
        <x:f>IF(OR(D88&lt;=0,E88&lt;=0),0,D88*E88)</x:f>
        <x:v>0</x:v>
      </x:c>
      <x:c r="H88" s="33" t="str">
        <x:f>IF(B88="","",IF(C88="待补映射","未匹配商品",IF(D88&lt;=0,"数量异常",IF(E88&lt;=0,"单价异常",IF(COUNTIF($F$2:F88,F88)&gt;1,"订单号重复","")))))</x:f>
      </x:c>
      <x:c r="I88" s="30" t="n">
        <x:f>IF(OR(B88="",H88&lt;&gt;""),0,D88)</x:f>
        <x:v>0</x:v>
      </x:c>
      <x:c r="J88" s="30" t="n">
        <x:f>IF(OR(B88="",H88&lt;&gt;""),0,G88)</x:f>
        <x:v>0</x:v>
      </x:c>
      <x:c r="K88" s="29" t="n">
        <x:f>IF(B88="",0,IF(H88="",0,1))</x:f>
        <x:v>0</x:v>
      </x:c>
    </x:row>
    <x:row r="89">
      <x:c r="A89" s="32"/>
      <x:c r="B89" s="16"/>
      <x:c r="C89" s="33" t="str">
        <x:f>IFERROR(VLOOKUP(B89,'商品映射'!$A$2:$B$50,2,FALSE),"待补映射")</x:f>
      </x:c>
      <x:c r="D89" s="34"/>
      <x:c r="E89" s="35"/>
      <x:c r="F89" s="16"/>
      <x:c r="G89" s="36" t="n">
        <x:f>IF(OR(D89&lt;=0,E89&lt;=0),0,D89*E89)</x:f>
        <x:v>0</x:v>
      </x:c>
      <x:c r="H89" s="33" t="str">
        <x:f>IF(B89="","",IF(C89="待补映射","未匹配商品",IF(D89&lt;=0,"数量异常",IF(E89&lt;=0,"单价异常",IF(COUNTIF($F$2:F89,F89)&gt;1,"订单号重复","")))))</x:f>
      </x:c>
      <x:c r="I89" s="30" t="n">
        <x:f>IF(OR(B89="",H89&lt;&gt;""),0,D89)</x:f>
        <x:v>0</x:v>
      </x:c>
      <x:c r="J89" s="30" t="n">
        <x:f>IF(OR(B89="",H89&lt;&gt;""),0,G89)</x:f>
        <x:v>0</x:v>
      </x:c>
      <x:c r="K89" s="29" t="n">
        <x:f>IF(B89="",0,IF(H89="",0,1))</x:f>
        <x:v>0</x:v>
      </x:c>
    </x:row>
    <x:row r="90">
      <x:c r="A90" s="32"/>
      <x:c r="B90" s="16"/>
      <x:c r="C90" s="33" t="str">
        <x:f>IFERROR(VLOOKUP(B90,'商品映射'!$A$2:$B$50,2,FALSE),"待补映射")</x:f>
      </x:c>
      <x:c r="D90" s="34"/>
      <x:c r="E90" s="35"/>
      <x:c r="F90" s="16"/>
      <x:c r="G90" s="36" t="n">
        <x:f>IF(OR(D90&lt;=0,E90&lt;=0),0,D90*E90)</x:f>
        <x:v>0</x:v>
      </x:c>
      <x:c r="H90" s="33" t="str">
        <x:f>IF(B90="","",IF(C90="待补映射","未匹配商品",IF(D90&lt;=0,"数量异常",IF(E90&lt;=0,"单价异常",IF(COUNTIF($F$2:F90,F90)&gt;1,"订单号重复","")))))</x:f>
      </x:c>
      <x:c r="I90" s="30" t="n">
        <x:f>IF(OR(B90="",H90&lt;&gt;""),0,D90)</x:f>
        <x:v>0</x:v>
      </x:c>
      <x:c r="J90" s="30" t="n">
        <x:f>IF(OR(B90="",H90&lt;&gt;""),0,G90)</x:f>
        <x:v>0</x:v>
      </x:c>
      <x:c r="K90" s="29" t="n">
        <x:f>IF(B90="",0,IF(H90="",0,1))</x:f>
        <x:v>0</x:v>
      </x:c>
    </x:row>
    <x:row r="91">
      <x:c r="A91" s="32"/>
      <x:c r="B91" s="16"/>
      <x:c r="C91" s="33" t="str">
        <x:f>IFERROR(VLOOKUP(B91,'商品映射'!$A$2:$B$50,2,FALSE),"待补映射")</x:f>
      </x:c>
      <x:c r="D91" s="34"/>
      <x:c r="E91" s="35"/>
      <x:c r="F91" s="16"/>
      <x:c r="G91" s="36" t="n">
        <x:f>IF(OR(D91&lt;=0,E91&lt;=0),0,D91*E91)</x:f>
        <x:v>0</x:v>
      </x:c>
      <x:c r="H91" s="33" t="str">
        <x:f>IF(B91="","",IF(C91="待补映射","未匹配商品",IF(D91&lt;=0,"数量异常",IF(E91&lt;=0,"单价异常",IF(COUNTIF($F$2:F91,F91)&gt;1,"订单号重复","")))))</x:f>
      </x:c>
      <x:c r="I91" s="30" t="n">
        <x:f>IF(OR(B91="",H91&lt;&gt;""),0,D91)</x:f>
        <x:v>0</x:v>
      </x:c>
      <x:c r="J91" s="30" t="n">
        <x:f>IF(OR(B91="",H91&lt;&gt;""),0,G91)</x:f>
        <x:v>0</x:v>
      </x:c>
      <x:c r="K91" s="29" t="n">
        <x:f>IF(B91="",0,IF(H91="",0,1))</x:f>
        <x:v>0</x:v>
      </x:c>
    </x:row>
    <x:row r="92">
      <x:c r="A92" s="32"/>
      <x:c r="B92" s="16"/>
      <x:c r="C92" s="33" t="str">
        <x:f>IFERROR(VLOOKUP(B92,'商品映射'!$A$2:$B$50,2,FALSE),"待补映射")</x:f>
      </x:c>
      <x:c r="D92" s="34"/>
      <x:c r="E92" s="35"/>
      <x:c r="F92" s="16"/>
      <x:c r="G92" s="36" t="n">
        <x:f>IF(OR(D92&lt;=0,E92&lt;=0),0,D92*E92)</x:f>
        <x:v>0</x:v>
      </x:c>
      <x:c r="H92" s="33" t="str">
        <x:f>IF(B92="","",IF(C92="待补映射","未匹配商品",IF(D92&lt;=0,"数量异常",IF(E92&lt;=0,"单价异常",IF(COUNTIF($F$2:F92,F92)&gt;1,"订单号重复","")))))</x:f>
      </x:c>
      <x:c r="I92" s="30" t="n">
        <x:f>IF(OR(B92="",H92&lt;&gt;""),0,D92)</x:f>
        <x:v>0</x:v>
      </x:c>
      <x:c r="J92" s="30" t="n">
        <x:f>IF(OR(B92="",H92&lt;&gt;""),0,G92)</x:f>
        <x:v>0</x:v>
      </x:c>
      <x:c r="K92" s="29" t="n">
        <x:f>IF(B92="",0,IF(H92="",0,1))</x:f>
        <x:v>0</x:v>
      </x:c>
    </x:row>
    <x:row r="93">
      <x:c r="A93" s="32"/>
      <x:c r="B93" s="16"/>
      <x:c r="C93" s="33" t="str">
        <x:f>IFERROR(VLOOKUP(B93,'商品映射'!$A$2:$B$50,2,FALSE),"待补映射")</x:f>
      </x:c>
      <x:c r="D93" s="34"/>
      <x:c r="E93" s="35"/>
      <x:c r="F93" s="16"/>
      <x:c r="G93" s="36" t="n">
        <x:f>IF(OR(D93&lt;=0,E93&lt;=0),0,D93*E93)</x:f>
        <x:v>0</x:v>
      </x:c>
      <x:c r="H93" s="33" t="str">
        <x:f>IF(B93="","",IF(C93="待补映射","未匹配商品",IF(D93&lt;=0,"数量异常",IF(E93&lt;=0,"单价异常",IF(COUNTIF($F$2:F93,F93)&gt;1,"订单号重复","")))))</x:f>
      </x:c>
      <x:c r="I93" s="30" t="n">
        <x:f>IF(OR(B93="",H93&lt;&gt;""),0,D93)</x:f>
        <x:v>0</x:v>
      </x:c>
      <x:c r="J93" s="30" t="n">
        <x:f>IF(OR(B93="",H93&lt;&gt;""),0,G93)</x:f>
        <x:v>0</x:v>
      </x:c>
      <x:c r="K93" s="29" t="n">
        <x:f>IF(B93="",0,IF(H93="",0,1))</x:f>
        <x:v>0</x:v>
      </x:c>
    </x:row>
    <x:row r="94">
      <x:c r="A94" s="32"/>
      <x:c r="B94" s="16"/>
      <x:c r="C94" s="33" t="str">
        <x:f>IFERROR(VLOOKUP(B94,'商品映射'!$A$2:$B$50,2,FALSE),"待补映射")</x:f>
      </x:c>
      <x:c r="D94" s="34"/>
      <x:c r="E94" s="35"/>
      <x:c r="F94" s="16"/>
      <x:c r="G94" s="36" t="n">
        <x:f>IF(OR(D94&lt;=0,E94&lt;=0),0,D94*E94)</x:f>
        <x:v>0</x:v>
      </x:c>
      <x:c r="H94" s="33" t="str">
        <x:f>IF(B94="","",IF(C94="待补映射","未匹配商品",IF(D94&lt;=0,"数量异常",IF(E94&lt;=0,"单价异常",IF(COUNTIF($F$2:F94,F94)&gt;1,"订单号重复","")))))</x:f>
      </x:c>
      <x:c r="I94" s="30" t="n">
        <x:f>IF(OR(B94="",H94&lt;&gt;""),0,D94)</x:f>
        <x:v>0</x:v>
      </x:c>
      <x:c r="J94" s="30" t="n">
        <x:f>IF(OR(B94="",H94&lt;&gt;""),0,G94)</x:f>
        <x:v>0</x:v>
      </x:c>
      <x:c r="K94" s="29" t="n">
        <x:f>IF(B94="",0,IF(H94="",0,1))</x:f>
        <x:v>0</x:v>
      </x:c>
    </x:row>
    <x:row r="95">
      <x:c r="A95" s="32"/>
      <x:c r="B95" s="16"/>
      <x:c r="C95" s="33" t="str">
        <x:f>IFERROR(VLOOKUP(B95,'商品映射'!$A$2:$B$50,2,FALSE),"待补映射")</x:f>
      </x:c>
      <x:c r="D95" s="34"/>
      <x:c r="E95" s="35"/>
      <x:c r="F95" s="16"/>
      <x:c r="G95" s="36" t="n">
        <x:f>IF(OR(D95&lt;=0,E95&lt;=0),0,D95*E95)</x:f>
        <x:v>0</x:v>
      </x:c>
      <x:c r="H95" s="33" t="str">
        <x:f>IF(B95="","",IF(C95="待补映射","未匹配商品",IF(D95&lt;=0,"数量异常",IF(E95&lt;=0,"单价异常",IF(COUNTIF($F$2:F95,F95)&gt;1,"订单号重复","")))))</x:f>
      </x:c>
      <x:c r="I95" s="30" t="n">
        <x:f>IF(OR(B95="",H95&lt;&gt;""),0,D95)</x:f>
        <x:v>0</x:v>
      </x:c>
      <x:c r="J95" s="30" t="n">
        <x:f>IF(OR(B95="",H95&lt;&gt;""),0,G95)</x:f>
        <x:v>0</x:v>
      </x:c>
      <x:c r="K95" s="29" t="n">
        <x:f>IF(B95="",0,IF(H95="",0,1))</x:f>
        <x:v>0</x:v>
      </x:c>
    </x:row>
    <x:row r="96">
      <x:c r="A96" s="32"/>
      <x:c r="B96" s="16"/>
      <x:c r="C96" s="33" t="str">
        <x:f>IFERROR(VLOOKUP(B96,'商品映射'!$A$2:$B$50,2,FALSE),"待补映射")</x:f>
      </x:c>
      <x:c r="D96" s="34"/>
      <x:c r="E96" s="35"/>
      <x:c r="F96" s="16"/>
      <x:c r="G96" s="36" t="n">
        <x:f>IF(OR(D96&lt;=0,E96&lt;=0),0,D96*E96)</x:f>
        <x:v>0</x:v>
      </x:c>
      <x:c r="H96" s="33" t="str">
        <x:f>IF(B96="","",IF(C96="待补映射","未匹配商品",IF(D96&lt;=0,"数量异常",IF(E96&lt;=0,"单价异常",IF(COUNTIF($F$2:F96,F96)&gt;1,"订单号重复","")))))</x:f>
      </x:c>
      <x:c r="I96" s="30" t="n">
        <x:f>IF(OR(B96="",H96&lt;&gt;""),0,D96)</x:f>
        <x:v>0</x:v>
      </x:c>
      <x:c r="J96" s="30" t="n">
        <x:f>IF(OR(B96="",H96&lt;&gt;""),0,G96)</x:f>
        <x:v>0</x:v>
      </x:c>
      <x:c r="K96" s="29" t="n">
        <x:f>IF(B96="",0,IF(H96="",0,1))</x:f>
        <x:v>0</x:v>
      </x:c>
    </x:row>
    <x:row r="97">
      <x:c r="A97" s="32"/>
      <x:c r="B97" s="16"/>
      <x:c r="C97" s="33" t="str">
        <x:f>IFERROR(VLOOKUP(B97,'商品映射'!$A$2:$B$50,2,FALSE),"待补映射")</x:f>
      </x:c>
      <x:c r="D97" s="34"/>
      <x:c r="E97" s="35"/>
      <x:c r="F97" s="16"/>
      <x:c r="G97" s="36" t="n">
        <x:f>IF(OR(D97&lt;=0,E97&lt;=0),0,D97*E97)</x:f>
        <x:v>0</x:v>
      </x:c>
      <x:c r="H97" s="33" t="str">
        <x:f>IF(B97="","",IF(C97="待补映射","未匹配商品",IF(D97&lt;=0,"数量异常",IF(E97&lt;=0,"单价异常",IF(COUNTIF($F$2:F97,F97)&gt;1,"订单号重复","")))))</x:f>
      </x:c>
      <x:c r="I97" s="30" t="n">
        <x:f>IF(OR(B97="",H97&lt;&gt;""),0,D97)</x:f>
        <x:v>0</x:v>
      </x:c>
      <x:c r="J97" s="30" t="n">
        <x:f>IF(OR(B97="",H97&lt;&gt;""),0,G97)</x:f>
        <x:v>0</x:v>
      </x:c>
      <x:c r="K97" s="29" t="n">
        <x:f>IF(B97="",0,IF(H97="",0,1))</x:f>
        <x:v>0</x:v>
      </x:c>
    </x:row>
    <x:row r="98">
      <x:c r="A98" s="32"/>
      <x:c r="B98" s="16"/>
      <x:c r="C98" s="33" t="str">
        <x:f>IFERROR(VLOOKUP(B98,'商品映射'!$A$2:$B$50,2,FALSE),"待补映射")</x:f>
      </x:c>
      <x:c r="D98" s="34"/>
      <x:c r="E98" s="35"/>
      <x:c r="F98" s="16"/>
      <x:c r="G98" s="36" t="n">
        <x:f>IF(OR(D98&lt;=0,E98&lt;=0),0,D98*E98)</x:f>
        <x:v>0</x:v>
      </x:c>
      <x:c r="H98" s="33" t="str">
        <x:f>IF(B98="","",IF(C98="待补映射","未匹配商品",IF(D98&lt;=0,"数量异常",IF(E98&lt;=0,"单价异常",IF(COUNTIF($F$2:F98,F98)&gt;1,"订单号重复","")))))</x:f>
      </x:c>
      <x:c r="I98" s="30" t="n">
        <x:f>IF(OR(B98="",H98&lt;&gt;""),0,D98)</x:f>
        <x:v>0</x:v>
      </x:c>
      <x:c r="J98" s="30" t="n">
        <x:f>IF(OR(B98="",H98&lt;&gt;""),0,G98)</x:f>
        <x:v>0</x:v>
      </x:c>
      <x:c r="K98" s="29" t="n">
        <x:f>IF(B98="",0,IF(H98="",0,1))</x:f>
        <x:v>0</x:v>
      </x:c>
    </x:row>
    <x:row r="99">
      <x:c r="A99" s="32"/>
      <x:c r="B99" s="16"/>
      <x:c r="C99" s="33" t="str">
        <x:f>IFERROR(VLOOKUP(B99,'商品映射'!$A$2:$B$50,2,FALSE),"待补映射")</x:f>
      </x:c>
      <x:c r="D99" s="34"/>
      <x:c r="E99" s="35"/>
      <x:c r="F99" s="16"/>
      <x:c r="G99" s="36" t="n">
        <x:f>IF(OR(D99&lt;=0,E99&lt;=0),0,D99*E99)</x:f>
        <x:v>0</x:v>
      </x:c>
      <x:c r="H99" s="33" t="str">
        <x:f>IF(B99="","",IF(C99="待补映射","未匹配商品",IF(D99&lt;=0,"数量异常",IF(E99&lt;=0,"单价异常",IF(COUNTIF($F$2:F99,F99)&gt;1,"订单号重复","")))))</x:f>
      </x:c>
      <x:c r="I99" s="30" t="n">
        <x:f>IF(OR(B99="",H99&lt;&gt;""),0,D99)</x:f>
        <x:v>0</x:v>
      </x:c>
      <x:c r="J99" s="30" t="n">
        <x:f>IF(OR(B99="",H99&lt;&gt;""),0,G99)</x:f>
        <x:v>0</x:v>
      </x:c>
      <x:c r="K99" s="29" t="n">
        <x:f>IF(B99="",0,IF(H99="",0,1))</x:f>
        <x:v>0</x:v>
      </x:c>
    </x:row>
    <x:row r="100">
      <x:c r="A100" s="32"/>
      <x:c r="B100" s="16"/>
      <x:c r="C100" s="33" t="str">
        <x:f>IFERROR(VLOOKUP(B100,'商品映射'!$A$2:$B$50,2,FALSE),"待补映射")</x:f>
      </x:c>
      <x:c r="D100" s="34"/>
      <x:c r="E100" s="35"/>
      <x:c r="F100" s="16"/>
      <x:c r="G100" s="36" t="n">
        <x:f>IF(OR(D100&lt;=0,E100&lt;=0),0,D100*E100)</x:f>
        <x:v>0</x:v>
      </x:c>
      <x:c r="H100" s="33" t="str">
        <x:f>IF(B100="","",IF(C100="待补映射","未匹配商品",IF(D100&lt;=0,"数量异常",IF(E100&lt;=0,"单价异常",IF(COUNTIF($F$2:F100,F100)&gt;1,"订单号重复","")))))</x:f>
      </x:c>
      <x:c r="I100" s="30" t="n">
        <x:f>IF(OR(B100="",H100&lt;&gt;""),0,D100)</x:f>
        <x:v>0</x:v>
      </x:c>
      <x:c r="J100" s="30" t="n">
        <x:f>IF(OR(B100="",H100&lt;&gt;""),0,G100)</x:f>
        <x:v>0</x:v>
      </x:c>
      <x:c r="K100" s="29" t="n">
        <x:f>IF(B100="",0,IF(H100="",0,1))</x:f>
        <x:v>0</x:v>
      </x:c>
    </x:row>
    <x:row r="101">
      <x:c r="A101" s="32"/>
      <x:c r="B101" s="16"/>
      <x:c r="C101" s="33" t="str">
        <x:f>IFERROR(VLOOKUP(B101,'商品映射'!$A$2:$B$50,2,FALSE),"待补映射")</x:f>
      </x:c>
      <x:c r="D101" s="34"/>
      <x:c r="E101" s="35"/>
      <x:c r="F101" s="16"/>
      <x:c r="G101" s="36" t="n">
        <x:f>IF(OR(D101&lt;=0,E101&lt;=0),0,D101*E101)</x:f>
        <x:v>0</x:v>
      </x:c>
      <x:c r="H101" s="33" t="str">
        <x:f>IF(B101="","",IF(C101="待补映射","未匹配商品",IF(D101&lt;=0,"数量异常",IF(E101&lt;=0,"单价异常",IF(COUNTIF($F$2:F101,F101)&gt;1,"订单号重复","")))))</x:f>
      </x:c>
      <x:c r="I101" s="30" t="n">
        <x:f>IF(OR(B101="",H101&lt;&gt;""),0,D101)</x:f>
        <x:v>0</x:v>
      </x:c>
      <x:c r="J101" s="30" t="n">
        <x:f>IF(OR(B101="",H101&lt;&gt;""),0,G101)</x:f>
        <x:v>0</x:v>
      </x:c>
      <x:c r="K101" s="29" t="n">
        <x:f>IF(B101="",0,IF(H101="",0,1))</x:f>
        <x:v>0</x:v>
      </x:c>
    </x:row>
    <x:row r="102">
      <x:c r="A102" s="32"/>
      <x:c r="B102" s="16"/>
      <x:c r="C102" s="33" t="str">
        <x:f>IFERROR(VLOOKUP(B102,'商品映射'!$A$2:$B$50,2,FALSE),"待补映射")</x:f>
      </x:c>
      <x:c r="D102" s="34"/>
      <x:c r="E102" s="35"/>
      <x:c r="F102" s="16"/>
      <x:c r="G102" s="36" t="n">
        <x:f>IF(OR(D102&lt;=0,E102&lt;=0),0,D102*E102)</x:f>
        <x:v>0</x:v>
      </x:c>
      <x:c r="H102" s="33" t="str">
        <x:f>IF(B102="","",IF(C102="待补映射","未匹配商品",IF(D102&lt;=0,"数量异常",IF(E102&lt;=0,"单价异常",IF(COUNTIF($F$2:F102,F102)&gt;1,"订单号重复","")))))</x:f>
      </x:c>
      <x:c r="I102" s="30" t="n">
        <x:f>IF(OR(B102="",H102&lt;&gt;""),0,D102)</x:f>
        <x:v>0</x:v>
      </x:c>
      <x:c r="J102" s="30" t="n">
        <x:f>IF(OR(B102="",H102&lt;&gt;""),0,G102)</x:f>
        <x:v>0</x:v>
      </x:c>
      <x:c r="K102" s="29" t="n">
        <x:f>IF(B102="",0,IF(H102="",0,1))</x:f>
        <x:v>0</x:v>
      </x:c>
    </x:row>
    <x:row r="103">
      <x:c r="A103" s="32"/>
      <x:c r="B103" s="16"/>
      <x:c r="C103" s="33" t="str">
        <x:f>IFERROR(VLOOKUP(B103,'商品映射'!$A$2:$B$50,2,FALSE),"待补映射")</x:f>
      </x:c>
      <x:c r="D103" s="34"/>
      <x:c r="E103" s="35"/>
      <x:c r="F103" s="16"/>
      <x:c r="G103" s="36" t="n">
        <x:f>IF(OR(D103&lt;=0,E103&lt;=0),0,D103*E103)</x:f>
        <x:v>0</x:v>
      </x:c>
      <x:c r="H103" s="33" t="str">
        <x:f>IF(B103="","",IF(C103="待补映射","未匹配商品",IF(D103&lt;=0,"数量异常",IF(E103&lt;=0,"单价异常",IF(COUNTIF($F$2:F103,F103)&gt;1,"订单号重复","")))))</x:f>
      </x:c>
      <x:c r="I103" s="30" t="n">
        <x:f>IF(OR(B103="",H103&lt;&gt;""),0,D103)</x:f>
        <x:v>0</x:v>
      </x:c>
      <x:c r="J103" s="30" t="n">
        <x:f>IF(OR(B103="",H103&lt;&gt;""),0,G103)</x:f>
        <x:v>0</x:v>
      </x:c>
      <x:c r="K103" s="29" t="n">
        <x:f>IF(B103="",0,IF(H103="",0,1))</x:f>
        <x:v>0</x:v>
      </x:c>
    </x:row>
    <x:row r="104">
      <x:c r="A104" s="32"/>
      <x:c r="B104" s="16"/>
      <x:c r="C104" s="33" t="str">
        <x:f>IFERROR(VLOOKUP(B104,'商品映射'!$A$2:$B$50,2,FALSE),"待补映射")</x:f>
      </x:c>
      <x:c r="D104" s="34"/>
      <x:c r="E104" s="35"/>
      <x:c r="F104" s="16"/>
      <x:c r="G104" s="36" t="n">
        <x:f>IF(OR(D104&lt;=0,E104&lt;=0),0,D104*E104)</x:f>
        <x:v>0</x:v>
      </x:c>
      <x:c r="H104" s="33" t="str">
        <x:f>IF(B104="","",IF(C104="待补映射","未匹配商品",IF(D104&lt;=0,"数量异常",IF(E104&lt;=0,"单价异常",IF(COUNTIF($F$2:F104,F104)&gt;1,"订单号重复","")))))</x:f>
      </x:c>
      <x:c r="I104" s="30" t="n">
        <x:f>IF(OR(B104="",H104&lt;&gt;""),0,D104)</x:f>
        <x:v>0</x:v>
      </x:c>
      <x:c r="J104" s="30" t="n">
        <x:f>IF(OR(B104="",H104&lt;&gt;""),0,G104)</x:f>
        <x:v>0</x:v>
      </x:c>
      <x:c r="K104" s="29" t="n">
        <x:f>IF(B104="",0,IF(H104="",0,1))</x:f>
        <x:v>0</x:v>
      </x:c>
    </x:row>
    <x:row r="105">
      <x:c r="A105" s="32"/>
      <x:c r="B105" s="16"/>
      <x:c r="C105" s="33" t="str">
        <x:f>IFERROR(VLOOKUP(B105,'商品映射'!$A$2:$B$50,2,FALSE),"待补映射")</x:f>
      </x:c>
      <x:c r="D105" s="34"/>
      <x:c r="E105" s="35"/>
      <x:c r="F105" s="16"/>
      <x:c r="G105" s="36" t="n">
        <x:f>IF(OR(D105&lt;=0,E105&lt;=0),0,D105*E105)</x:f>
        <x:v>0</x:v>
      </x:c>
      <x:c r="H105" s="33" t="str">
        <x:f>IF(B105="","",IF(C105="待补映射","未匹配商品",IF(D105&lt;=0,"数量异常",IF(E105&lt;=0,"单价异常",IF(COUNTIF($F$2:F105,F105)&gt;1,"订单号重复","")))))</x:f>
      </x:c>
      <x:c r="I105" s="30" t="n">
        <x:f>IF(OR(B105="",H105&lt;&gt;""),0,D105)</x:f>
        <x:v>0</x:v>
      </x:c>
      <x:c r="J105" s="30" t="n">
        <x:f>IF(OR(B105="",H105&lt;&gt;""),0,G105)</x:f>
        <x:v>0</x:v>
      </x:c>
      <x:c r="K105" s="29" t="n">
        <x:f>IF(B105="",0,IF(H105="",0,1))</x:f>
        <x:v>0</x:v>
      </x:c>
    </x:row>
    <x:row r="106">
      <x:c r="A106" s="32"/>
      <x:c r="B106" s="16"/>
      <x:c r="C106" s="33" t="str">
        <x:f>IFERROR(VLOOKUP(B106,'商品映射'!$A$2:$B$50,2,FALSE),"待补映射")</x:f>
      </x:c>
      <x:c r="D106" s="34"/>
      <x:c r="E106" s="35"/>
      <x:c r="F106" s="16"/>
      <x:c r="G106" s="36" t="n">
        <x:f>IF(OR(D106&lt;=0,E106&lt;=0),0,D106*E106)</x:f>
        <x:v>0</x:v>
      </x:c>
      <x:c r="H106" s="33" t="str">
        <x:f>IF(B106="","",IF(C106="待补映射","未匹配商品",IF(D106&lt;=0,"数量异常",IF(E106&lt;=0,"单价异常",IF(COUNTIF($F$2:F106,F106)&gt;1,"订单号重复","")))))</x:f>
      </x:c>
      <x:c r="I106" s="30" t="n">
        <x:f>IF(OR(B106="",H106&lt;&gt;""),0,D106)</x:f>
        <x:v>0</x:v>
      </x:c>
      <x:c r="J106" s="30" t="n">
        <x:f>IF(OR(B106="",H106&lt;&gt;""),0,G106)</x:f>
        <x:v>0</x:v>
      </x:c>
      <x:c r="K106" s="29" t="n">
        <x:f>IF(B106="",0,IF(H106="",0,1))</x:f>
        <x:v>0</x:v>
      </x:c>
    </x:row>
    <x:row r="107">
      <x:c r="A107" s="32"/>
      <x:c r="B107" s="16"/>
      <x:c r="C107" s="33" t="str">
        <x:f>IFERROR(VLOOKUP(B107,'商品映射'!$A$2:$B$50,2,FALSE),"待补映射")</x:f>
      </x:c>
      <x:c r="D107" s="34"/>
      <x:c r="E107" s="35"/>
      <x:c r="F107" s="16"/>
      <x:c r="G107" s="36" t="n">
        <x:f>IF(OR(D107&lt;=0,E107&lt;=0),0,D107*E107)</x:f>
        <x:v>0</x:v>
      </x:c>
      <x:c r="H107" s="33" t="str">
        <x:f>IF(B107="","",IF(C107="待补映射","未匹配商品",IF(D107&lt;=0,"数量异常",IF(E107&lt;=0,"单价异常",IF(COUNTIF($F$2:F107,F107)&gt;1,"订单号重复","")))))</x:f>
      </x:c>
      <x:c r="I107" s="30" t="n">
        <x:f>IF(OR(B107="",H107&lt;&gt;""),0,D107)</x:f>
        <x:v>0</x:v>
      </x:c>
      <x:c r="J107" s="30" t="n">
        <x:f>IF(OR(B107="",H107&lt;&gt;""),0,G107)</x:f>
        <x:v>0</x:v>
      </x:c>
      <x:c r="K107" s="29" t="n">
        <x:f>IF(B107="",0,IF(H107="",0,1))</x:f>
        <x:v>0</x:v>
      </x:c>
    </x:row>
    <x:row r="108">
      <x:c r="A108" s="32"/>
      <x:c r="B108" s="16"/>
      <x:c r="C108" s="33" t="str">
        <x:f>IFERROR(VLOOKUP(B108,'商品映射'!$A$2:$B$50,2,FALSE),"待补映射")</x:f>
      </x:c>
      <x:c r="D108" s="34"/>
      <x:c r="E108" s="35"/>
      <x:c r="F108" s="16"/>
      <x:c r="G108" s="36" t="n">
        <x:f>IF(OR(D108&lt;=0,E108&lt;=0),0,D108*E108)</x:f>
        <x:v>0</x:v>
      </x:c>
      <x:c r="H108" s="33" t="str">
        <x:f>IF(B108="","",IF(C108="待补映射","未匹配商品",IF(D108&lt;=0,"数量异常",IF(E108&lt;=0,"单价异常",IF(COUNTIF($F$2:F108,F108)&gt;1,"订单号重复","")))))</x:f>
      </x:c>
      <x:c r="I108" s="30" t="n">
        <x:f>IF(OR(B108="",H108&lt;&gt;""),0,D108)</x:f>
        <x:v>0</x:v>
      </x:c>
      <x:c r="J108" s="30" t="n">
        <x:f>IF(OR(B108="",H108&lt;&gt;""),0,G108)</x:f>
        <x:v>0</x:v>
      </x:c>
      <x:c r="K108" s="29" t="n">
        <x:f>IF(B108="",0,IF(H108="",0,1))</x:f>
        <x:v>0</x:v>
      </x:c>
    </x:row>
    <x:row r="109">
      <x:c r="A109" s="32"/>
      <x:c r="B109" s="16"/>
      <x:c r="C109" s="33" t="str">
        <x:f>IFERROR(VLOOKUP(B109,'商品映射'!$A$2:$B$50,2,FALSE),"待补映射")</x:f>
      </x:c>
      <x:c r="D109" s="34"/>
      <x:c r="E109" s="35"/>
      <x:c r="F109" s="16"/>
      <x:c r="G109" s="36" t="n">
        <x:f>IF(OR(D109&lt;=0,E109&lt;=0),0,D109*E109)</x:f>
        <x:v>0</x:v>
      </x:c>
      <x:c r="H109" s="33" t="str">
        <x:f>IF(B109="","",IF(C109="待补映射","未匹配商品",IF(D109&lt;=0,"数量异常",IF(E109&lt;=0,"单价异常",IF(COUNTIF($F$2:F109,F109)&gt;1,"订单号重复","")))))</x:f>
      </x:c>
      <x:c r="I109" s="30" t="n">
        <x:f>IF(OR(B109="",H109&lt;&gt;""),0,D109)</x:f>
        <x:v>0</x:v>
      </x:c>
      <x:c r="J109" s="30" t="n">
        <x:f>IF(OR(B109="",H109&lt;&gt;""),0,G109)</x:f>
        <x:v>0</x:v>
      </x:c>
      <x:c r="K109" s="29" t="n">
        <x:f>IF(B109="",0,IF(H109="",0,1))</x:f>
        <x:v>0</x:v>
      </x:c>
    </x:row>
    <x:row r="110">
      <x:c r="A110" s="32"/>
      <x:c r="B110" s="16"/>
      <x:c r="C110" s="33" t="str">
        <x:f>IFERROR(VLOOKUP(B110,'商品映射'!$A$2:$B$50,2,FALSE),"待补映射")</x:f>
      </x:c>
      <x:c r="D110" s="34"/>
      <x:c r="E110" s="35"/>
      <x:c r="F110" s="16"/>
      <x:c r="G110" s="36" t="n">
        <x:f>IF(OR(D110&lt;=0,E110&lt;=0),0,D110*E110)</x:f>
        <x:v>0</x:v>
      </x:c>
      <x:c r="H110" s="33" t="str">
        <x:f>IF(B110="","",IF(C110="待补映射","未匹配商品",IF(D110&lt;=0,"数量异常",IF(E110&lt;=0,"单价异常",IF(COUNTIF($F$2:F110,F110)&gt;1,"订单号重复","")))))</x:f>
      </x:c>
      <x:c r="I110" s="30" t="n">
        <x:f>IF(OR(B110="",H110&lt;&gt;""),0,D110)</x:f>
        <x:v>0</x:v>
      </x:c>
      <x:c r="J110" s="30" t="n">
        <x:f>IF(OR(B110="",H110&lt;&gt;""),0,G110)</x:f>
        <x:v>0</x:v>
      </x:c>
      <x:c r="K110" s="29" t="n">
        <x:f>IF(B110="",0,IF(H110="",0,1))</x:f>
        <x:v>0</x:v>
      </x:c>
    </x:row>
    <x:row r="111">
      <x:c r="A111" s="32"/>
      <x:c r="B111" s="16"/>
      <x:c r="C111" s="33" t="str">
        <x:f>IFERROR(VLOOKUP(B111,'商品映射'!$A$2:$B$50,2,FALSE),"待补映射")</x:f>
      </x:c>
      <x:c r="D111" s="34"/>
      <x:c r="E111" s="35"/>
      <x:c r="F111" s="16"/>
      <x:c r="G111" s="36" t="n">
        <x:f>IF(OR(D111&lt;=0,E111&lt;=0),0,D111*E111)</x:f>
        <x:v>0</x:v>
      </x:c>
      <x:c r="H111" s="33" t="str">
        <x:f>IF(B111="","",IF(C111="待补映射","未匹配商品",IF(D111&lt;=0,"数量异常",IF(E111&lt;=0,"单价异常",IF(COUNTIF($F$2:F111,F111)&gt;1,"订单号重复","")))))</x:f>
      </x:c>
      <x:c r="I111" s="30" t="n">
        <x:f>IF(OR(B111="",H111&lt;&gt;""),0,D111)</x:f>
        <x:v>0</x:v>
      </x:c>
      <x:c r="J111" s="30" t="n">
        <x:f>IF(OR(B111="",H111&lt;&gt;""),0,G111)</x:f>
        <x:v>0</x:v>
      </x:c>
      <x:c r="K111" s="29" t="n">
        <x:f>IF(B111="",0,IF(H111="",0,1))</x:f>
        <x:v>0</x:v>
      </x:c>
    </x:row>
    <x:row r="112">
      <x:c r="A112" s="32"/>
      <x:c r="B112" s="16"/>
      <x:c r="C112" s="33" t="str">
        <x:f>IFERROR(VLOOKUP(B112,'商品映射'!$A$2:$B$50,2,FALSE),"待补映射")</x:f>
      </x:c>
      <x:c r="D112" s="34"/>
      <x:c r="E112" s="35"/>
      <x:c r="F112" s="16"/>
      <x:c r="G112" s="36" t="n">
        <x:f>IF(OR(D112&lt;=0,E112&lt;=0),0,D112*E112)</x:f>
        <x:v>0</x:v>
      </x:c>
      <x:c r="H112" s="33" t="str">
        <x:f>IF(B112="","",IF(C112="待补映射","未匹配商品",IF(D112&lt;=0,"数量异常",IF(E112&lt;=0,"单价异常",IF(COUNTIF($F$2:F112,F112)&gt;1,"订单号重复","")))))</x:f>
      </x:c>
      <x:c r="I112" s="30" t="n">
        <x:f>IF(OR(B112="",H112&lt;&gt;""),0,D112)</x:f>
        <x:v>0</x:v>
      </x:c>
      <x:c r="J112" s="30" t="n">
        <x:f>IF(OR(B112="",H112&lt;&gt;""),0,G112)</x:f>
        <x:v>0</x:v>
      </x:c>
      <x:c r="K112" s="29" t="n">
        <x:f>IF(B112="",0,IF(H112="",0,1))</x:f>
        <x:v>0</x:v>
      </x:c>
    </x:row>
    <x:row r="113">
      <x:c r="A113" s="32"/>
      <x:c r="B113" s="16"/>
      <x:c r="C113" s="33" t="str">
        <x:f>IFERROR(VLOOKUP(B113,'商品映射'!$A$2:$B$50,2,FALSE),"待补映射")</x:f>
      </x:c>
      <x:c r="D113" s="34"/>
      <x:c r="E113" s="35"/>
      <x:c r="F113" s="16"/>
      <x:c r="G113" s="36" t="n">
        <x:f>IF(OR(D113&lt;=0,E113&lt;=0),0,D113*E113)</x:f>
        <x:v>0</x:v>
      </x:c>
      <x:c r="H113" s="33" t="str">
        <x:f>IF(B113="","",IF(C113="待补映射","未匹配商品",IF(D113&lt;=0,"数量异常",IF(E113&lt;=0,"单价异常",IF(COUNTIF($F$2:F113,F113)&gt;1,"订单号重复","")))))</x:f>
      </x:c>
      <x:c r="I113" s="30" t="n">
        <x:f>IF(OR(B113="",H113&lt;&gt;""),0,D113)</x:f>
        <x:v>0</x:v>
      </x:c>
      <x:c r="J113" s="30" t="n">
        <x:f>IF(OR(B113="",H113&lt;&gt;""),0,G113)</x:f>
        <x:v>0</x:v>
      </x:c>
      <x:c r="K113" s="29" t="n">
        <x:f>IF(B113="",0,IF(H113="",0,1))</x:f>
        <x:v>0</x:v>
      </x:c>
    </x:row>
    <x:row r="114">
      <x:c r="A114" s="32"/>
      <x:c r="B114" s="16"/>
      <x:c r="C114" s="33" t="str">
        <x:f>IFERROR(VLOOKUP(B114,'商品映射'!$A$2:$B$50,2,FALSE),"待补映射")</x:f>
      </x:c>
      <x:c r="D114" s="34"/>
      <x:c r="E114" s="35"/>
      <x:c r="F114" s="16"/>
      <x:c r="G114" s="36" t="n">
        <x:f>IF(OR(D114&lt;=0,E114&lt;=0),0,D114*E114)</x:f>
        <x:v>0</x:v>
      </x:c>
      <x:c r="H114" s="33" t="str">
        <x:f>IF(B114="","",IF(C114="待补映射","未匹配商品",IF(D114&lt;=0,"数量异常",IF(E114&lt;=0,"单价异常",IF(COUNTIF($F$2:F114,F114)&gt;1,"订单号重复","")))))</x:f>
      </x:c>
      <x:c r="I114" s="30" t="n">
        <x:f>IF(OR(B114="",H114&lt;&gt;""),0,D114)</x:f>
        <x:v>0</x:v>
      </x:c>
      <x:c r="J114" s="30" t="n">
        <x:f>IF(OR(B114="",H114&lt;&gt;""),0,G114)</x:f>
        <x:v>0</x:v>
      </x:c>
      <x:c r="K114" s="29" t="n">
        <x:f>IF(B114="",0,IF(H114="",0,1))</x:f>
        <x:v>0</x:v>
      </x:c>
    </x:row>
    <x:row r="115">
      <x:c r="A115" s="32"/>
      <x:c r="B115" s="16"/>
      <x:c r="C115" s="33" t="str">
        <x:f>IFERROR(VLOOKUP(B115,'商品映射'!$A$2:$B$50,2,FALSE),"待补映射")</x:f>
      </x:c>
      <x:c r="D115" s="34"/>
      <x:c r="E115" s="35"/>
      <x:c r="F115" s="16"/>
      <x:c r="G115" s="36" t="n">
        <x:f>IF(OR(D115&lt;=0,E115&lt;=0),0,D115*E115)</x:f>
        <x:v>0</x:v>
      </x:c>
      <x:c r="H115" s="33" t="str">
        <x:f>IF(B115="","",IF(C115="待补映射","未匹配商品",IF(D115&lt;=0,"数量异常",IF(E115&lt;=0,"单价异常",IF(COUNTIF($F$2:F115,F115)&gt;1,"订单号重复","")))))</x:f>
      </x:c>
      <x:c r="I115" s="30" t="n">
        <x:f>IF(OR(B115="",H115&lt;&gt;""),0,D115)</x:f>
        <x:v>0</x:v>
      </x:c>
      <x:c r="J115" s="30" t="n">
        <x:f>IF(OR(B115="",H115&lt;&gt;""),0,G115)</x:f>
        <x:v>0</x:v>
      </x:c>
      <x:c r="K115" s="29" t="n">
        <x:f>IF(B115="",0,IF(H115="",0,1))</x:f>
        <x:v>0</x:v>
      </x:c>
    </x:row>
    <x:row r="116">
      <x:c r="A116" s="32"/>
      <x:c r="B116" s="16"/>
      <x:c r="C116" s="33" t="str">
        <x:f>IFERROR(VLOOKUP(B116,'商品映射'!$A$2:$B$50,2,FALSE),"待补映射")</x:f>
      </x:c>
      <x:c r="D116" s="34"/>
      <x:c r="E116" s="35"/>
      <x:c r="F116" s="16"/>
      <x:c r="G116" s="36" t="n">
        <x:f>IF(OR(D116&lt;=0,E116&lt;=0),0,D116*E116)</x:f>
        <x:v>0</x:v>
      </x:c>
      <x:c r="H116" s="33" t="str">
        <x:f>IF(B116="","",IF(C116="待补映射","未匹配商品",IF(D116&lt;=0,"数量异常",IF(E116&lt;=0,"单价异常",IF(COUNTIF($F$2:F116,F116)&gt;1,"订单号重复","")))))</x:f>
      </x:c>
      <x:c r="I116" s="30" t="n">
        <x:f>IF(OR(B116="",H116&lt;&gt;""),0,D116)</x:f>
        <x:v>0</x:v>
      </x:c>
      <x:c r="J116" s="30" t="n">
        <x:f>IF(OR(B116="",H116&lt;&gt;""),0,G116)</x:f>
        <x:v>0</x:v>
      </x:c>
      <x:c r="K116" s="29" t="n">
        <x:f>IF(B116="",0,IF(H116="",0,1))</x:f>
        <x:v>0</x:v>
      </x:c>
    </x:row>
    <x:row r="117">
      <x:c r="A117" s="32"/>
      <x:c r="B117" s="16"/>
      <x:c r="C117" s="33" t="str">
        <x:f>IFERROR(VLOOKUP(B117,'商品映射'!$A$2:$B$50,2,FALSE),"待补映射")</x:f>
      </x:c>
      <x:c r="D117" s="34"/>
      <x:c r="E117" s="35"/>
      <x:c r="F117" s="16"/>
      <x:c r="G117" s="36" t="n">
        <x:f>IF(OR(D117&lt;=0,E117&lt;=0),0,D117*E117)</x:f>
        <x:v>0</x:v>
      </x:c>
      <x:c r="H117" s="33" t="str">
        <x:f>IF(B117="","",IF(C117="待补映射","未匹配商品",IF(D117&lt;=0,"数量异常",IF(E117&lt;=0,"单价异常",IF(COUNTIF($F$2:F117,F117)&gt;1,"订单号重复","")))))</x:f>
      </x:c>
      <x:c r="I117" s="30" t="n">
        <x:f>IF(OR(B117="",H117&lt;&gt;""),0,D117)</x:f>
        <x:v>0</x:v>
      </x:c>
      <x:c r="J117" s="30" t="n">
        <x:f>IF(OR(B117="",H117&lt;&gt;""),0,G117)</x:f>
        <x:v>0</x:v>
      </x:c>
      <x:c r="K117" s="29" t="n">
        <x:f>IF(B117="",0,IF(H117="",0,1))</x:f>
        <x:v>0</x:v>
      </x:c>
    </x:row>
    <x:row r="118">
      <x:c r="A118" s="32"/>
      <x:c r="B118" s="16"/>
      <x:c r="C118" s="33" t="str">
        <x:f>IFERROR(VLOOKUP(B118,'商品映射'!$A$2:$B$50,2,FALSE),"待补映射")</x:f>
      </x:c>
      <x:c r="D118" s="34"/>
      <x:c r="E118" s="35"/>
      <x:c r="F118" s="16"/>
      <x:c r="G118" s="36" t="n">
        <x:f>IF(OR(D118&lt;=0,E118&lt;=0),0,D118*E118)</x:f>
        <x:v>0</x:v>
      </x:c>
      <x:c r="H118" s="33" t="str">
        <x:f>IF(B118="","",IF(C118="待补映射","未匹配商品",IF(D118&lt;=0,"数量异常",IF(E118&lt;=0,"单价异常",IF(COUNTIF($F$2:F118,F118)&gt;1,"订单号重复","")))))</x:f>
      </x:c>
      <x:c r="I118" s="30" t="n">
        <x:f>IF(OR(B118="",H118&lt;&gt;""),0,D118)</x:f>
        <x:v>0</x:v>
      </x:c>
      <x:c r="J118" s="30" t="n">
        <x:f>IF(OR(B118="",H118&lt;&gt;""),0,G118)</x:f>
        <x:v>0</x:v>
      </x:c>
      <x:c r="K118" s="29" t="n">
        <x:f>IF(B118="",0,IF(H118="",0,1))</x:f>
        <x:v>0</x:v>
      </x:c>
    </x:row>
    <x:row r="119">
      <x:c r="A119" s="32"/>
      <x:c r="B119" s="16"/>
      <x:c r="C119" s="33" t="str">
        <x:f>IFERROR(VLOOKUP(B119,'商品映射'!$A$2:$B$50,2,FALSE),"待补映射")</x:f>
      </x:c>
      <x:c r="D119" s="34"/>
      <x:c r="E119" s="35"/>
      <x:c r="F119" s="16"/>
      <x:c r="G119" s="36" t="n">
        <x:f>IF(OR(D119&lt;=0,E119&lt;=0),0,D119*E119)</x:f>
        <x:v>0</x:v>
      </x:c>
      <x:c r="H119" s="33" t="str">
        <x:f>IF(B119="","",IF(C119="待补映射","未匹配商品",IF(D119&lt;=0,"数量异常",IF(E119&lt;=0,"单价异常",IF(COUNTIF($F$2:F119,F119)&gt;1,"订单号重复","")))))</x:f>
      </x:c>
      <x:c r="I119" s="30" t="n">
        <x:f>IF(OR(B119="",H119&lt;&gt;""),0,D119)</x:f>
        <x:v>0</x:v>
      </x:c>
      <x:c r="J119" s="30" t="n">
        <x:f>IF(OR(B119="",H119&lt;&gt;""),0,G119)</x:f>
        <x:v>0</x:v>
      </x:c>
      <x:c r="K119" s="29" t="n">
        <x:f>IF(B119="",0,IF(H119="",0,1))</x:f>
        <x:v>0</x:v>
      </x:c>
    </x:row>
    <x:row r="120">
      <x:c r="A120" s="32"/>
      <x:c r="B120" s="16"/>
      <x:c r="C120" s="33" t="str">
        <x:f>IFERROR(VLOOKUP(B120,'商品映射'!$A$2:$B$50,2,FALSE),"待补映射")</x:f>
      </x:c>
      <x:c r="D120" s="34"/>
      <x:c r="E120" s="35"/>
      <x:c r="F120" s="16"/>
      <x:c r="G120" s="36" t="n">
        <x:f>IF(OR(D120&lt;=0,E120&lt;=0),0,D120*E120)</x:f>
        <x:v>0</x:v>
      </x:c>
      <x:c r="H120" s="33" t="str">
        <x:f>IF(B120="","",IF(C120="待补映射","未匹配商品",IF(D120&lt;=0,"数量异常",IF(E120&lt;=0,"单价异常",IF(COUNTIF($F$2:F120,F120)&gt;1,"订单号重复","")))))</x:f>
      </x:c>
      <x:c r="I120" s="30" t="n">
        <x:f>IF(OR(B120="",H120&lt;&gt;""),0,D120)</x:f>
        <x:v>0</x:v>
      </x:c>
      <x:c r="J120" s="30" t="n">
        <x:f>IF(OR(B120="",H120&lt;&gt;""),0,G120)</x:f>
        <x:v>0</x:v>
      </x:c>
      <x:c r="K120" s="29" t="n">
        <x:f>IF(B120="",0,IF(H120="",0,1))</x:f>
        <x:v>0</x:v>
      </x:c>
    </x:row>
    <x:row r="121">
      <x:c r="A121" s="32"/>
      <x:c r="B121" s="16"/>
      <x:c r="C121" s="33" t="str">
        <x:f>IFERROR(VLOOKUP(B121,'商品映射'!$A$2:$B$50,2,FALSE),"待补映射")</x:f>
      </x:c>
      <x:c r="D121" s="34"/>
      <x:c r="E121" s="35"/>
      <x:c r="F121" s="16"/>
      <x:c r="G121" s="36" t="n">
        <x:f>IF(OR(D121&lt;=0,E121&lt;=0),0,D121*E121)</x:f>
        <x:v>0</x:v>
      </x:c>
      <x:c r="H121" s="33" t="str">
        <x:f>IF(B121="","",IF(C121="待补映射","未匹配商品",IF(D121&lt;=0,"数量异常",IF(E121&lt;=0,"单价异常",IF(COUNTIF($F$2:F121,F121)&gt;1,"订单号重复","")))))</x:f>
      </x:c>
      <x:c r="I121" s="30" t="n">
        <x:f>IF(OR(B121="",H121&lt;&gt;""),0,D121)</x:f>
        <x:v>0</x:v>
      </x:c>
      <x:c r="J121" s="30" t="n">
        <x:f>IF(OR(B121="",H121&lt;&gt;""),0,G121)</x:f>
        <x:v>0</x:v>
      </x:c>
      <x:c r="K121" s="29" t="n">
        <x:f>IF(B121="",0,IF(H121="",0,1))</x:f>
        <x:v>0</x:v>
      </x:c>
    </x:row>
    <x:row r="122">
      <x:c r="A122" s="32"/>
      <x:c r="B122" s="16"/>
      <x:c r="C122" s="33" t="str">
        <x:f>IFERROR(VLOOKUP(B122,'商品映射'!$A$2:$B$50,2,FALSE),"待补映射")</x:f>
      </x:c>
      <x:c r="D122" s="34"/>
      <x:c r="E122" s="35"/>
      <x:c r="F122" s="16"/>
      <x:c r="G122" s="36" t="n">
        <x:f>IF(OR(D122&lt;=0,E122&lt;=0),0,D122*E122)</x:f>
        <x:v>0</x:v>
      </x:c>
      <x:c r="H122" s="33" t="str">
        <x:f>IF(B122="","",IF(C122="待补映射","未匹配商品",IF(D122&lt;=0,"数量异常",IF(E122&lt;=0,"单价异常",IF(COUNTIF($F$2:F122,F122)&gt;1,"订单号重复","")))))</x:f>
      </x:c>
      <x:c r="I122" s="30" t="n">
        <x:f>IF(OR(B122="",H122&lt;&gt;""),0,D122)</x:f>
        <x:v>0</x:v>
      </x:c>
      <x:c r="J122" s="30" t="n">
        <x:f>IF(OR(B122="",H122&lt;&gt;""),0,G122)</x:f>
        <x:v>0</x:v>
      </x:c>
      <x:c r="K122" s="29" t="n">
        <x:f>IF(B122="",0,IF(H122="",0,1))</x:f>
        <x:v>0</x:v>
      </x:c>
    </x:row>
    <x:row r="123">
      <x:c r="A123" s="32"/>
      <x:c r="B123" s="16"/>
      <x:c r="C123" s="33" t="str">
        <x:f>IFERROR(VLOOKUP(B123,'商品映射'!$A$2:$B$50,2,FALSE),"待补映射")</x:f>
      </x:c>
      <x:c r="D123" s="34"/>
      <x:c r="E123" s="35"/>
      <x:c r="F123" s="16"/>
      <x:c r="G123" s="36" t="n">
        <x:f>IF(OR(D123&lt;=0,E123&lt;=0),0,D123*E123)</x:f>
        <x:v>0</x:v>
      </x:c>
      <x:c r="H123" s="33" t="str">
        <x:f>IF(B123="","",IF(C123="待补映射","未匹配商品",IF(D123&lt;=0,"数量异常",IF(E123&lt;=0,"单价异常",IF(COUNTIF($F$2:F123,F123)&gt;1,"订单号重复","")))))</x:f>
      </x:c>
      <x:c r="I123" s="30" t="n">
        <x:f>IF(OR(B123="",H123&lt;&gt;""),0,D123)</x:f>
        <x:v>0</x:v>
      </x:c>
      <x:c r="J123" s="30" t="n">
        <x:f>IF(OR(B123="",H123&lt;&gt;""),0,G123)</x:f>
        <x:v>0</x:v>
      </x:c>
      <x:c r="K123" s="29" t="n">
        <x:f>IF(B123="",0,IF(H123="",0,1))</x:f>
        <x:v>0</x:v>
      </x:c>
    </x:row>
    <x:row r="124">
      <x:c r="A124" s="32"/>
      <x:c r="B124" s="16"/>
      <x:c r="C124" s="33" t="str">
        <x:f>IFERROR(VLOOKUP(B124,'商品映射'!$A$2:$B$50,2,FALSE),"待补映射")</x:f>
      </x:c>
      <x:c r="D124" s="34"/>
      <x:c r="E124" s="35"/>
      <x:c r="F124" s="16"/>
      <x:c r="G124" s="36" t="n">
        <x:f>IF(OR(D124&lt;=0,E124&lt;=0),0,D124*E124)</x:f>
        <x:v>0</x:v>
      </x:c>
      <x:c r="H124" s="33" t="str">
        <x:f>IF(B124="","",IF(C124="待补映射","未匹配商品",IF(D124&lt;=0,"数量异常",IF(E124&lt;=0,"单价异常",IF(COUNTIF($F$2:F124,F124)&gt;1,"订单号重复","")))))</x:f>
      </x:c>
      <x:c r="I124" s="30" t="n">
        <x:f>IF(OR(B124="",H124&lt;&gt;""),0,D124)</x:f>
        <x:v>0</x:v>
      </x:c>
      <x:c r="J124" s="30" t="n">
        <x:f>IF(OR(B124="",H124&lt;&gt;""),0,G124)</x:f>
        <x:v>0</x:v>
      </x:c>
      <x:c r="K124" s="29" t="n">
        <x:f>IF(B124="",0,IF(H124="",0,1))</x:f>
        <x:v>0</x:v>
      </x:c>
    </x:row>
    <x:row r="125">
      <x:c r="A125" s="32"/>
      <x:c r="B125" s="16"/>
      <x:c r="C125" s="33" t="str">
        <x:f>IFERROR(VLOOKUP(B125,'商品映射'!$A$2:$B$50,2,FALSE),"待补映射")</x:f>
      </x:c>
      <x:c r="D125" s="34"/>
      <x:c r="E125" s="35"/>
      <x:c r="F125" s="16"/>
      <x:c r="G125" s="36" t="n">
        <x:f>IF(OR(D125&lt;=0,E125&lt;=0),0,D125*E125)</x:f>
        <x:v>0</x:v>
      </x:c>
      <x:c r="H125" s="33" t="str">
        <x:f>IF(B125="","",IF(C125="待补映射","未匹配商品",IF(D125&lt;=0,"数量异常",IF(E125&lt;=0,"单价异常",IF(COUNTIF($F$2:F125,F125)&gt;1,"订单号重复","")))))</x:f>
      </x:c>
      <x:c r="I125" s="30" t="n">
        <x:f>IF(OR(B125="",H125&lt;&gt;""),0,D125)</x:f>
        <x:v>0</x:v>
      </x:c>
      <x:c r="J125" s="30" t="n">
        <x:f>IF(OR(B125="",H125&lt;&gt;""),0,G125)</x:f>
        <x:v>0</x:v>
      </x:c>
      <x:c r="K125" s="29" t="n">
        <x:f>IF(B125="",0,IF(H125="",0,1))</x:f>
        <x:v>0</x:v>
      </x:c>
    </x:row>
    <x:row r="126">
      <x:c r="A126" s="32"/>
      <x:c r="B126" s="16"/>
      <x:c r="C126" s="33" t="str">
        <x:f>IFERROR(VLOOKUP(B126,'商品映射'!$A$2:$B$50,2,FALSE),"待补映射")</x:f>
      </x:c>
      <x:c r="D126" s="34"/>
      <x:c r="E126" s="35"/>
      <x:c r="F126" s="16"/>
      <x:c r="G126" s="36" t="n">
        <x:f>IF(OR(D126&lt;=0,E126&lt;=0),0,D126*E126)</x:f>
        <x:v>0</x:v>
      </x:c>
      <x:c r="H126" s="33" t="str">
        <x:f>IF(B126="","",IF(C126="待补映射","未匹配商品",IF(D126&lt;=0,"数量异常",IF(E126&lt;=0,"单价异常",IF(COUNTIF($F$2:F126,F126)&gt;1,"订单号重复","")))))</x:f>
      </x:c>
      <x:c r="I126" s="30" t="n">
        <x:f>IF(OR(B126="",H126&lt;&gt;""),0,D126)</x:f>
        <x:v>0</x:v>
      </x:c>
      <x:c r="J126" s="30" t="n">
        <x:f>IF(OR(B126="",H126&lt;&gt;""),0,G126)</x:f>
        <x:v>0</x:v>
      </x:c>
      <x:c r="K126" s="29" t="n">
        <x:f>IF(B126="",0,IF(H126="",0,1))</x:f>
        <x:v>0</x:v>
      </x:c>
    </x:row>
    <x:row r="127">
      <x:c r="A127" s="32"/>
      <x:c r="B127" s="16"/>
      <x:c r="C127" s="33" t="str">
        <x:f>IFERROR(VLOOKUP(B127,'商品映射'!$A$2:$B$50,2,FALSE),"待补映射")</x:f>
      </x:c>
      <x:c r="D127" s="34"/>
      <x:c r="E127" s="35"/>
      <x:c r="F127" s="16"/>
      <x:c r="G127" s="36" t="n">
        <x:f>IF(OR(D127&lt;=0,E127&lt;=0),0,D127*E127)</x:f>
        <x:v>0</x:v>
      </x:c>
      <x:c r="H127" s="33" t="str">
        <x:f>IF(B127="","",IF(C127="待补映射","未匹配商品",IF(D127&lt;=0,"数量异常",IF(E127&lt;=0,"单价异常",IF(COUNTIF($F$2:F127,F127)&gt;1,"订单号重复","")))))</x:f>
      </x:c>
      <x:c r="I127" s="30" t="n">
        <x:f>IF(OR(B127="",H127&lt;&gt;""),0,D127)</x:f>
        <x:v>0</x:v>
      </x:c>
      <x:c r="J127" s="30" t="n">
        <x:f>IF(OR(B127="",H127&lt;&gt;""),0,G127)</x:f>
        <x:v>0</x:v>
      </x:c>
      <x:c r="K127" s="29" t="n">
        <x:f>IF(B127="",0,IF(H127="",0,1))</x:f>
        <x:v>0</x:v>
      </x:c>
    </x:row>
    <x:row r="128">
      <x:c r="A128" s="32"/>
      <x:c r="B128" s="16"/>
      <x:c r="C128" s="33" t="str">
        <x:f>IFERROR(VLOOKUP(B128,'商品映射'!$A$2:$B$50,2,FALSE),"待补映射")</x:f>
      </x:c>
      <x:c r="D128" s="34"/>
      <x:c r="E128" s="35"/>
      <x:c r="F128" s="16"/>
      <x:c r="G128" s="36" t="n">
        <x:f>IF(OR(D128&lt;=0,E128&lt;=0),0,D128*E128)</x:f>
        <x:v>0</x:v>
      </x:c>
      <x:c r="H128" s="33" t="str">
        <x:f>IF(B128="","",IF(C128="待补映射","未匹配商品",IF(D128&lt;=0,"数量异常",IF(E128&lt;=0,"单价异常",IF(COUNTIF($F$2:F128,F128)&gt;1,"订单号重复","")))))</x:f>
      </x:c>
      <x:c r="I128" s="30" t="n">
        <x:f>IF(OR(B128="",H128&lt;&gt;""),0,D128)</x:f>
        <x:v>0</x:v>
      </x:c>
      <x:c r="J128" s="30" t="n">
        <x:f>IF(OR(B128="",H128&lt;&gt;""),0,G128)</x:f>
        <x:v>0</x:v>
      </x:c>
      <x:c r="K128" s="29" t="n">
        <x:f>IF(B128="",0,IF(H128="",0,1))</x:f>
        <x:v>0</x:v>
      </x:c>
    </x:row>
    <x:row r="129">
      <x:c r="A129" s="32"/>
      <x:c r="B129" s="16"/>
      <x:c r="C129" s="33" t="str">
        <x:f>IFERROR(VLOOKUP(B129,'商品映射'!$A$2:$B$50,2,FALSE),"待补映射")</x:f>
      </x:c>
      <x:c r="D129" s="34"/>
      <x:c r="E129" s="35"/>
      <x:c r="F129" s="16"/>
      <x:c r="G129" s="36" t="n">
        <x:f>IF(OR(D129&lt;=0,E129&lt;=0),0,D129*E129)</x:f>
        <x:v>0</x:v>
      </x:c>
      <x:c r="H129" s="33" t="str">
        <x:f>IF(B129="","",IF(C129="待补映射","未匹配商品",IF(D129&lt;=0,"数量异常",IF(E129&lt;=0,"单价异常",IF(COUNTIF($F$2:F129,F129)&gt;1,"订单号重复","")))))</x:f>
      </x:c>
      <x:c r="I129" s="30" t="n">
        <x:f>IF(OR(B129="",H129&lt;&gt;""),0,D129)</x:f>
        <x:v>0</x:v>
      </x:c>
      <x:c r="J129" s="30" t="n">
        <x:f>IF(OR(B129="",H129&lt;&gt;""),0,G129)</x:f>
        <x:v>0</x:v>
      </x:c>
      <x:c r="K129" s="29" t="n">
        <x:f>IF(B129="",0,IF(H129="",0,1))</x:f>
        <x:v>0</x:v>
      </x:c>
    </x:row>
    <x:row r="130">
      <x:c r="A130" s="32"/>
      <x:c r="B130" s="16"/>
      <x:c r="C130" s="33" t="str">
        <x:f>IFERROR(VLOOKUP(B130,'商品映射'!$A$2:$B$50,2,FALSE),"待补映射")</x:f>
      </x:c>
      <x:c r="D130" s="34"/>
      <x:c r="E130" s="35"/>
      <x:c r="F130" s="16"/>
      <x:c r="G130" s="36" t="n">
        <x:f>IF(OR(D130&lt;=0,E130&lt;=0),0,D130*E130)</x:f>
        <x:v>0</x:v>
      </x:c>
      <x:c r="H130" s="33" t="str">
        <x:f>IF(B130="","",IF(C130="待补映射","未匹配商品",IF(D130&lt;=0,"数量异常",IF(E130&lt;=0,"单价异常",IF(COUNTIF($F$2:F130,F130)&gt;1,"订单号重复","")))))</x:f>
      </x:c>
      <x:c r="I130" s="30" t="n">
        <x:f>IF(OR(B130="",H130&lt;&gt;""),0,D130)</x:f>
        <x:v>0</x:v>
      </x:c>
      <x:c r="J130" s="30" t="n">
        <x:f>IF(OR(B130="",H130&lt;&gt;""),0,G130)</x:f>
        <x:v>0</x:v>
      </x:c>
      <x:c r="K130" s="29" t="n">
        <x:f>IF(B130="",0,IF(H130="",0,1))</x:f>
        <x:v>0</x:v>
      </x:c>
    </x:row>
    <x:row r="131">
      <x:c r="A131" s="32"/>
      <x:c r="B131" s="16"/>
      <x:c r="C131" s="33" t="str">
        <x:f>IFERROR(VLOOKUP(B131,'商品映射'!$A$2:$B$50,2,FALSE),"待补映射")</x:f>
      </x:c>
      <x:c r="D131" s="34"/>
      <x:c r="E131" s="35"/>
      <x:c r="F131" s="16"/>
      <x:c r="G131" s="36" t="n">
        <x:f>IF(OR(D131&lt;=0,E131&lt;=0),0,D131*E131)</x:f>
        <x:v>0</x:v>
      </x:c>
      <x:c r="H131" s="33" t="str">
        <x:f>IF(B131="","",IF(C131="待补映射","未匹配商品",IF(D131&lt;=0,"数量异常",IF(E131&lt;=0,"单价异常",IF(COUNTIF($F$2:F131,F131)&gt;1,"订单号重复","")))))</x:f>
      </x:c>
      <x:c r="I131" s="30" t="n">
        <x:f>IF(OR(B131="",H131&lt;&gt;""),0,D131)</x:f>
        <x:v>0</x:v>
      </x:c>
      <x:c r="J131" s="30" t="n">
        <x:f>IF(OR(B131="",H131&lt;&gt;""),0,G131)</x:f>
        <x:v>0</x:v>
      </x:c>
      <x:c r="K131" s="29" t="n">
        <x:f>IF(B131="",0,IF(H131="",0,1))</x:f>
        <x:v>0</x:v>
      </x:c>
    </x:row>
    <x:row r="132">
      <x:c r="A132" s="32"/>
      <x:c r="B132" s="16"/>
      <x:c r="C132" s="33" t="str">
        <x:f>IFERROR(VLOOKUP(B132,'商品映射'!$A$2:$B$50,2,FALSE),"待补映射")</x:f>
      </x:c>
      <x:c r="D132" s="34"/>
      <x:c r="E132" s="35"/>
      <x:c r="F132" s="16"/>
      <x:c r="G132" s="36" t="n">
        <x:f>IF(OR(D132&lt;=0,E132&lt;=0),0,D132*E132)</x:f>
        <x:v>0</x:v>
      </x:c>
      <x:c r="H132" s="33" t="str">
        <x:f>IF(B132="","",IF(C132="待补映射","未匹配商品",IF(D132&lt;=0,"数量异常",IF(E132&lt;=0,"单价异常",IF(COUNTIF($F$2:F132,F132)&gt;1,"订单号重复","")))))</x:f>
      </x:c>
      <x:c r="I132" s="30" t="n">
        <x:f>IF(OR(B132="",H132&lt;&gt;""),0,D132)</x:f>
        <x:v>0</x:v>
      </x:c>
      <x:c r="J132" s="30" t="n">
        <x:f>IF(OR(B132="",H132&lt;&gt;""),0,G132)</x:f>
        <x:v>0</x:v>
      </x:c>
      <x:c r="K132" s="29" t="n">
        <x:f>IF(B132="",0,IF(H132="",0,1))</x:f>
        <x:v>0</x:v>
      </x:c>
    </x:row>
    <x:row r="133">
      <x:c r="A133" s="32"/>
      <x:c r="B133" s="16"/>
      <x:c r="C133" s="33" t="str">
        <x:f>IFERROR(VLOOKUP(B133,'商品映射'!$A$2:$B$50,2,FALSE),"待补映射")</x:f>
      </x:c>
      <x:c r="D133" s="34"/>
      <x:c r="E133" s="35"/>
      <x:c r="F133" s="16"/>
      <x:c r="G133" s="36" t="n">
        <x:f>IF(OR(D133&lt;=0,E133&lt;=0),0,D133*E133)</x:f>
        <x:v>0</x:v>
      </x:c>
      <x:c r="H133" s="33" t="str">
        <x:f>IF(B133="","",IF(C133="待补映射","未匹配商品",IF(D133&lt;=0,"数量异常",IF(E133&lt;=0,"单价异常",IF(COUNTIF($F$2:F133,F133)&gt;1,"订单号重复","")))))</x:f>
      </x:c>
      <x:c r="I133" s="30" t="n">
        <x:f>IF(OR(B133="",H133&lt;&gt;""),0,D133)</x:f>
        <x:v>0</x:v>
      </x:c>
      <x:c r="J133" s="30" t="n">
        <x:f>IF(OR(B133="",H133&lt;&gt;""),0,G133)</x:f>
        <x:v>0</x:v>
      </x:c>
      <x:c r="K133" s="29" t="n">
        <x:f>IF(B133="",0,IF(H133="",0,1))</x:f>
        <x:v>0</x:v>
      </x:c>
    </x:row>
    <x:row r="134">
      <x:c r="A134" s="32"/>
      <x:c r="B134" s="16"/>
      <x:c r="C134" s="33" t="str">
        <x:f>IFERROR(VLOOKUP(B134,'商品映射'!$A$2:$B$50,2,FALSE),"待补映射")</x:f>
      </x:c>
      <x:c r="D134" s="34"/>
      <x:c r="E134" s="35"/>
      <x:c r="F134" s="16"/>
      <x:c r="G134" s="36" t="n">
        <x:f>IF(OR(D134&lt;=0,E134&lt;=0),0,D134*E134)</x:f>
        <x:v>0</x:v>
      </x:c>
      <x:c r="H134" s="33" t="str">
        <x:f>IF(B134="","",IF(C134="待补映射","未匹配商品",IF(D134&lt;=0,"数量异常",IF(E134&lt;=0,"单价异常",IF(COUNTIF($F$2:F134,F134)&gt;1,"订单号重复","")))))</x:f>
      </x:c>
      <x:c r="I134" s="30" t="n">
        <x:f>IF(OR(B134="",H134&lt;&gt;""),0,D134)</x:f>
        <x:v>0</x:v>
      </x:c>
      <x:c r="J134" s="30" t="n">
        <x:f>IF(OR(B134="",H134&lt;&gt;""),0,G134)</x:f>
        <x:v>0</x:v>
      </x:c>
      <x:c r="K134" s="29" t="n">
        <x:f>IF(B134="",0,IF(H134="",0,1))</x:f>
        <x:v>0</x:v>
      </x:c>
    </x:row>
    <x:row r="135">
      <x:c r="A135" s="32"/>
      <x:c r="B135" s="16"/>
      <x:c r="C135" s="33" t="str">
        <x:f>IFERROR(VLOOKUP(B135,'商品映射'!$A$2:$B$50,2,FALSE),"待补映射")</x:f>
      </x:c>
      <x:c r="D135" s="34"/>
      <x:c r="E135" s="35"/>
      <x:c r="F135" s="16"/>
      <x:c r="G135" s="36" t="n">
        <x:f>IF(OR(D135&lt;=0,E135&lt;=0),0,D135*E135)</x:f>
        <x:v>0</x:v>
      </x:c>
      <x:c r="H135" s="33" t="str">
        <x:f>IF(B135="","",IF(C135="待补映射","未匹配商品",IF(D135&lt;=0,"数量异常",IF(E135&lt;=0,"单价异常",IF(COUNTIF($F$2:F135,F135)&gt;1,"订单号重复","")))))</x:f>
      </x:c>
      <x:c r="I135" s="30" t="n">
        <x:f>IF(OR(B135="",H135&lt;&gt;""),0,D135)</x:f>
        <x:v>0</x:v>
      </x:c>
      <x:c r="J135" s="30" t="n">
        <x:f>IF(OR(B135="",H135&lt;&gt;""),0,G135)</x:f>
        <x:v>0</x:v>
      </x:c>
      <x:c r="K135" s="29" t="n">
        <x:f>IF(B135="",0,IF(H135="",0,1))</x:f>
        <x:v>0</x:v>
      </x:c>
    </x:row>
    <x:row r="136">
      <x:c r="A136" s="32"/>
      <x:c r="B136" s="16"/>
      <x:c r="C136" s="33" t="str">
        <x:f>IFERROR(VLOOKUP(B136,'商品映射'!$A$2:$B$50,2,FALSE),"待补映射")</x:f>
      </x:c>
      <x:c r="D136" s="34"/>
      <x:c r="E136" s="35"/>
      <x:c r="F136" s="16"/>
      <x:c r="G136" s="36" t="n">
        <x:f>IF(OR(D136&lt;=0,E136&lt;=0),0,D136*E136)</x:f>
        <x:v>0</x:v>
      </x:c>
      <x:c r="H136" s="33" t="str">
        <x:f>IF(B136="","",IF(C136="待补映射","未匹配商品",IF(D136&lt;=0,"数量异常",IF(E136&lt;=0,"单价异常",IF(COUNTIF($F$2:F136,F136)&gt;1,"订单号重复","")))))</x:f>
      </x:c>
      <x:c r="I136" s="30" t="n">
        <x:f>IF(OR(B136="",H136&lt;&gt;""),0,D136)</x:f>
        <x:v>0</x:v>
      </x:c>
      <x:c r="J136" s="30" t="n">
        <x:f>IF(OR(B136="",H136&lt;&gt;""),0,G136)</x:f>
        <x:v>0</x:v>
      </x:c>
      <x:c r="K136" s="29" t="n">
        <x:f>IF(B136="",0,IF(H136="",0,1))</x:f>
        <x:v>0</x:v>
      </x:c>
    </x:row>
    <x:row r="137">
      <x:c r="A137" s="32"/>
      <x:c r="B137" s="16"/>
      <x:c r="C137" s="33" t="str">
        <x:f>IFERROR(VLOOKUP(B137,'商品映射'!$A$2:$B$50,2,FALSE),"待补映射")</x:f>
      </x:c>
      <x:c r="D137" s="34"/>
      <x:c r="E137" s="35"/>
      <x:c r="F137" s="16"/>
      <x:c r="G137" s="36" t="n">
        <x:f>IF(OR(D137&lt;=0,E137&lt;=0),0,D137*E137)</x:f>
        <x:v>0</x:v>
      </x:c>
      <x:c r="H137" s="33" t="str">
        <x:f>IF(B137="","",IF(C137="待补映射","未匹配商品",IF(D137&lt;=0,"数量异常",IF(E137&lt;=0,"单价异常",IF(COUNTIF($F$2:F137,F137)&gt;1,"订单号重复","")))))</x:f>
      </x:c>
      <x:c r="I137" s="30" t="n">
        <x:f>IF(OR(B137="",H137&lt;&gt;""),0,D137)</x:f>
        <x:v>0</x:v>
      </x:c>
      <x:c r="J137" s="30" t="n">
        <x:f>IF(OR(B137="",H137&lt;&gt;""),0,G137)</x:f>
        <x:v>0</x:v>
      </x:c>
      <x:c r="K137" s="29" t="n">
        <x:f>IF(B137="",0,IF(H137="",0,1))</x:f>
        <x:v>0</x:v>
      </x:c>
    </x:row>
    <x:row r="138">
      <x:c r="A138" s="32"/>
      <x:c r="B138" s="16"/>
      <x:c r="C138" s="33" t="str">
        <x:f>IFERROR(VLOOKUP(B138,'商品映射'!$A$2:$B$50,2,FALSE),"待补映射")</x:f>
      </x:c>
      <x:c r="D138" s="34"/>
      <x:c r="E138" s="35"/>
      <x:c r="F138" s="16"/>
      <x:c r="G138" s="36" t="n">
        <x:f>IF(OR(D138&lt;=0,E138&lt;=0),0,D138*E138)</x:f>
        <x:v>0</x:v>
      </x:c>
      <x:c r="H138" s="33" t="str">
        <x:f>IF(B138="","",IF(C138="待补映射","未匹配商品",IF(D138&lt;=0,"数量异常",IF(E138&lt;=0,"单价异常",IF(COUNTIF($F$2:F138,F138)&gt;1,"订单号重复","")))))</x:f>
      </x:c>
      <x:c r="I138" s="30" t="n">
        <x:f>IF(OR(B138="",H138&lt;&gt;""),0,D138)</x:f>
        <x:v>0</x:v>
      </x:c>
      <x:c r="J138" s="30" t="n">
        <x:f>IF(OR(B138="",H138&lt;&gt;""),0,G138)</x:f>
        <x:v>0</x:v>
      </x:c>
      <x:c r="K138" s="29" t="n">
        <x:f>IF(B138="",0,IF(H138="",0,1))</x:f>
        <x:v>0</x:v>
      </x:c>
    </x:row>
    <x:row r="139">
      <x:c r="A139" s="32"/>
      <x:c r="B139" s="16"/>
      <x:c r="C139" s="33" t="str">
        <x:f>IFERROR(VLOOKUP(B139,'商品映射'!$A$2:$B$50,2,FALSE),"待补映射")</x:f>
      </x:c>
      <x:c r="D139" s="34"/>
      <x:c r="E139" s="35"/>
      <x:c r="F139" s="16"/>
      <x:c r="G139" s="36" t="n">
        <x:f>IF(OR(D139&lt;=0,E139&lt;=0),0,D139*E139)</x:f>
        <x:v>0</x:v>
      </x:c>
      <x:c r="H139" s="33" t="str">
        <x:f>IF(B139="","",IF(C139="待补映射","未匹配商品",IF(D139&lt;=0,"数量异常",IF(E139&lt;=0,"单价异常",IF(COUNTIF($F$2:F139,F139)&gt;1,"订单号重复","")))))</x:f>
      </x:c>
      <x:c r="I139" s="30" t="n">
        <x:f>IF(OR(B139="",H139&lt;&gt;""),0,D139)</x:f>
        <x:v>0</x:v>
      </x:c>
      <x:c r="J139" s="30" t="n">
        <x:f>IF(OR(B139="",H139&lt;&gt;""),0,G139)</x:f>
        <x:v>0</x:v>
      </x:c>
      <x:c r="K139" s="29" t="n">
        <x:f>IF(B139="",0,IF(H139="",0,1))</x:f>
        <x:v>0</x:v>
      </x:c>
    </x:row>
    <x:row r="140">
      <x:c r="A140" s="32"/>
      <x:c r="B140" s="16"/>
      <x:c r="C140" s="33" t="str">
        <x:f>IFERROR(VLOOKUP(B140,'商品映射'!$A$2:$B$50,2,FALSE),"待补映射")</x:f>
      </x:c>
      <x:c r="D140" s="34"/>
      <x:c r="E140" s="35"/>
      <x:c r="F140" s="16"/>
      <x:c r="G140" s="36" t="n">
        <x:f>IF(OR(D140&lt;=0,E140&lt;=0),0,D140*E140)</x:f>
        <x:v>0</x:v>
      </x:c>
      <x:c r="H140" s="33" t="str">
        <x:f>IF(B140="","",IF(C140="待补映射","未匹配商品",IF(D140&lt;=0,"数量异常",IF(E140&lt;=0,"单价异常",IF(COUNTIF($F$2:F140,F140)&gt;1,"订单号重复","")))))</x:f>
      </x:c>
      <x:c r="I140" s="30" t="n">
        <x:f>IF(OR(B140="",H140&lt;&gt;""),0,D140)</x:f>
        <x:v>0</x:v>
      </x:c>
      <x:c r="J140" s="30" t="n">
        <x:f>IF(OR(B140="",H140&lt;&gt;""),0,G140)</x:f>
        <x:v>0</x:v>
      </x:c>
      <x:c r="K140" s="29" t="n">
        <x:f>IF(B140="",0,IF(H140="",0,1))</x:f>
        <x:v>0</x:v>
      </x:c>
    </x:row>
    <x:row r="141">
      <x:c r="A141" s="32"/>
      <x:c r="B141" s="16"/>
      <x:c r="C141" s="33" t="str">
        <x:f>IFERROR(VLOOKUP(B141,'商品映射'!$A$2:$B$50,2,FALSE),"待补映射")</x:f>
      </x:c>
      <x:c r="D141" s="34"/>
      <x:c r="E141" s="35"/>
      <x:c r="F141" s="16"/>
      <x:c r="G141" s="36" t="n">
        <x:f>IF(OR(D141&lt;=0,E141&lt;=0),0,D141*E141)</x:f>
        <x:v>0</x:v>
      </x:c>
      <x:c r="H141" s="33" t="str">
        <x:f>IF(B141="","",IF(C141="待补映射","未匹配商品",IF(D141&lt;=0,"数量异常",IF(E141&lt;=0,"单价异常",IF(COUNTIF($F$2:F141,F141)&gt;1,"订单号重复","")))))</x:f>
      </x:c>
      <x:c r="I141" s="30" t="n">
        <x:f>IF(OR(B141="",H141&lt;&gt;""),0,D141)</x:f>
        <x:v>0</x:v>
      </x:c>
      <x:c r="J141" s="30" t="n">
        <x:f>IF(OR(B141="",H141&lt;&gt;""),0,G141)</x:f>
        <x:v>0</x:v>
      </x:c>
      <x:c r="K141" s="29" t="n">
        <x:f>IF(B141="",0,IF(H141="",0,1))</x:f>
        <x:v>0</x:v>
      </x:c>
    </x:row>
    <x:row r="142">
      <x:c r="A142" s="32"/>
      <x:c r="B142" s="16"/>
      <x:c r="C142" s="33" t="str">
        <x:f>IFERROR(VLOOKUP(B142,'商品映射'!$A$2:$B$50,2,FALSE),"待补映射")</x:f>
      </x:c>
      <x:c r="D142" s="34"/>
      <x:c r="E142" s="35"/>
      <x:c r="F142" s="16"/>
      <x:c r="G142" s="36" t="n">
        <x:f>IF(OR(D142&lt;=0,E142&lt;=0),0,D142*E142)</x:f>
        <x:v>0</x:v>
      </x:c>
      <x:c r="H142" s="33" t="str">
        <x:f>IF(B142="","",IF(C142="待补映射","未匹配商品",IF(D142&lt;=0,"数量异常",IF(E142&lt;=0,"单价异常",IF(COUNTIF($F$2:F142,F142)&gt;1,"订单号重复","")))))</x:f>
      </x:c>
      <x:c r="I142" s="30" t="n">
        <x:f>IF(OR(B142="",H142&lt;&gt;""),0,D142)</x:f>
        <x:v>0</x:v>
      </x:c>
      <x:c r="J142" s="30" t="n">
        <x:f>IF(OR(B142="",H142&lt;&gt;""),0,G142)</x:f>
        <x:v>0</x:v>
      </x:c>
      <x:c r="K142" s="29" t="n">
        <x:f>IF(B142="",0,IF(H142="",0,1))</x:f>
        <x:v>0</x:v>
      </x:c>
    </x:row>
    <x:row r="143">
      <x:c r="A143" s="32"/>
      <x:c r="B143" s="16"/>
      <x:c r="C143" s="33" t="str">
        <x:f>IFERROR(VLOOKUP(B143,'商品映射'!$A$2:$B$50,2,FALSE),"待补映射")</x:f>
      </x:c>
      <x:c r="D143" s="34"/>
      <x:c r="E143" s="35"/>
      <x:c r="F143" s="16"/>
      <x:c r="G143" s="36" t="n">
        <x:f>IF(OR(D143&lt;=0,E143&lt;=0),0,D143*E143)</x:f>
        <x:v>0</x:v>
      </x:c>
      <x:c r="H143" s="33" t="str">
        <x:f>IF(B143="","",IF(C143="待补映射","未匹配商品",IF(D143&lt;=0,"数量异常",IF(E143&lt;=0,"单价异常",IF(COUNTIF($F$2:F143,F143)&gt;1,"订单号重复","")))))</x:f>
      </x:c>
      <x:c r="I143" s="30" t="n">
        <x:f>IF(OR(B143="",H143&lt;&gt;""),0,D143)</x:f>
        <x:v>0</x:v>
      </x:c>
      <x:c r="J143" s="30" t="n">
        <x:f>IF(OR(B143="",H143&lt;&gt;""),0,G143)</x:f>
        <x:v>0</x:v>
      </x:c>
      <x:c r="K143" s="29" t="n">
        <x:f>IF(B143="",0,IF(H143="",0,1))</x:f>
        <x:v>0</x:v>
      </x:c>
    </x:row>
    <x:row r="144">
      <x:c r="A144" s="32"/>
      <x:c r="B144" s="16"/>
      <x:c r="C144" s="33" t="str">
        <x:f>IFERROR(VLOOKUP(B144,'商品映射'!$A$2:$B$50,2,FALSE),"待补映射")</x:f>
      </x:c>
      <x:c r="D144" s="34"/>
      <x:c r="E144" s="35"/>
      <x:c r="F144" s="16"/>
      <x:c r="G144" s="36" t="n">
        <x:f>IF(OR(D144&lt;=0,E144&lt;=0),0,D144*E144)</x:f>
        <x:v>0</x:v>
      </x:c>
      <x:c r="H144" s="33" t="str">
        <x:f>IF(B144="","",IF(C144="待补映射","未匹配商品",IF(D144&lt;=0,"数量异常",IF(E144&lt;=0,"单价异常",IF(COUNTIF($F$2:F144,F144)&gt;1,"订单号重复","")))))</x:f>
      </x:c>
      <x:c r="I144" s="30" t="n">
        <x:f>IF(OR(B144="",H144&lt;&gt;""),0,D144)</x:f>
        <x:v>0</x:v>
      </x:c>
      <x:c r="J144" s="30" t="n">
        <x:f>IF(OR(B144="",H144&lt;&gt;""),0,G144)</x:f>
        <x:v>0</x:v>
      </x:c>
      <x:c r="K144" s="29" t="n">
        <x:f>IF(B144="",0,IF(H144="",0,1))</x:f>
        <x:v>0</x:v>
      </x:c>
    </x:row>
    <x:row r="145">
      <x:c r="A145" s="32"/>
      <x:c r="B145" s="16"/>
      <x:c r="C145" s="33" t="str">
        <x:f>IFERROR(VLOOKUP(B145,'商品映射'!$A$2:$B$50,2,FALSE),"待补映射")</x:f>
      </x:c>
      <x:c r="D145" s="34"/>
      <x:c r="E145" s="35"/>
      <x:c r="F145" s="16"/>
      <x:c r="G145" s="36" t="n">
        <x:f>IF(OR(D145&lt;=0,E145&lt;=0),0,D145*E145)</x:f>
        <x:v>0</x:v>
      </x:c>
      <x:c r="H145" s="33" t="str">
        <x:f>IF(B145="","",IF(C145="待补映射","未匹配商品",IF(D145&lt;=0,"数量异常",IF(E145&lt;=0,"单价异常",IF(COUNTIF($F$2:F145,F145)&gt;1,"订单号重复","")))))</x:f>
      </x:c>
      <x:c r="I145" s="30" t="n">
        <x:f>IF(OR(B145="",H145&lt;&gt;""),0,D145)</x:f>
        <x:v>0</x:v>
      </x:c>
      <x:c r="J145" s="30" t="n">
        <x:f>IF(OR(B145="",H145&lt;&gt;""),0,G145)</x:f>
        <x:v>0</x:v>
      </x:c>
      <x:c r="K145" s="29" t="n">
        <x:f>IF(B145="",0,IF(H145="",0,1))</x:f>
        <x:v>0</x:v>
      </x:c>
    </x:row>
    <x:row r="146">
      <x:c r="A146" s="32"/>
      <x:c r="B146" s="16"/>
      <x:c r="C146" s="33" t="str">
        <x:f>IFERROR(VLOOKUP(B146,'商品映射'!$A$2:$B$50,2,FALSE),"待补映射")</x:f>
      </x:c>
      <x:c r="D146" s="34"/>
      <x:c r="E146" s="35"/>
      <x:c r="F146" s="16"/>
      <x:c r="G146" s="36" t="n">
        <x:f>IF(OR(D146&lt;=0,E146&lt;=0),0,D146*E146)</x:f>
        <x:v>0</x:v>
      </x:c>
      <x:c r="H146" s="33" t="str">
        <x:f>IF(B146="","",IF(C146="待补映射","未匹配商品",IF(D146&lt;=0,"数量异常",IF(E146&lt;=0,"单价异常",IF(COUNTIF($F$2:F146,F146)&gt;1,"订单号重复","")))))</x:f>
      </x:c>
      <x:c r="I146" s="30" t="n">
        <x:f>IF(OR(B146="",H146&lt;&gt;""),0,D146)</x:f>
        <x:v>0</x:v>
      </x:c>
      <x:c r="J146" s="30" t="n">
        <x:f>IF(OR(B146="",H146&lt;&gt;""),0,G146)</x:f>
        <x:v>0</x:v>
      </x:c>
      <x:c r="K146" s="29" t="n">
        <x:f>IF(B146="",0,IF(H146="",0,1))</x:f>
        <x:v>0</x:v>
      </x:c>
    </x:row>
    <x:row r="147">
      <x:c r="A147" s="32"/>
      <x:c r="B147" s="16"/>
      <x:c r="C147" s="33" t="str">
        <x:f>IFERROR(VLOOKUP(B147,'商品映射'!$A$2:$B$50,2,FALSE),"待补映射")</x:f>
      </x:c>
      <x:c r="D147" s="34"/>
      <x:c r="E147" s="35"/>
      <x:c r="F147" s="16"/>
      <x:c r="G147" s="36" t="n">
        <x:f>IF(OR(D147&lt;=0,E147&lt;=0),0,D147*E147)</x:f>
        <x:v>0</x:v>
      </x:c>
      <x:c r="H147" s="33" t="str">
        <x:f>IF(B147="","",IF(C147="待补映射","未匹配商品",IF(D147&lt;=0,"数量异常",IF(E147&lt;=0,"单价异常",IF(COUNTIF($F$2:F147,F147)&gt;1,"订单号重复","")))))</x:f>
      </x:c>
      <x:c r="I147" s="30" t="n">
        <x:f>IF(OR(B147="",H147&lt;&gt;""),0,D147)</x:f>
        <x:v>0</x:v>
      </x:c>
      <x:c r="J147" s="30" t="n">
        <x:f>IF(OR(B147="",H147&lt;&gt;""),0,G147)</x:f>
        <x:v>0</x:v>
      </x:c>
      <x:c r="K147" s="29" t="n">
        <x:f>IF(B147="",0,IF(H147="",0,1))</x:f>
        <x:v>0</x:v>
      </x:c>
    </x:row>
    <x:row r="148">
      <x:c r="A148" s="32"/>
      <x:c r="B148" s="16"/>
      <x:c r="C148" s="33" t="str">
        <x:f>IFERROR(VLOOKUP(B148,'商品映射'!$A$2:$B$50,2,FALSE),"待补映射")</x:f>
      </x:c>
      <x:c r="D148" s="34"/>
      <x:c r="E148" s="35"/>
      <x:c r="F148" s="16"/>
      <x:c r="G148" s="36" t="n">
        <x:f>IF(OR(D148&lt;=0,E148&lt;=0),0,D148*E148)</x:f>
        <x:v>0</x:v>
      </x:c>
      <x:c r="H148" s="33" t="str">
        <x:f>IF(B148="","",IF(C148="待补映射","未匹配商品",IF(D148&lt;=0,"数量异常",IF(E148&lt;=0,"单价异常",IF(COUNTIF($F$2:F148,F148)&gt;1,"订单号重复","")))))</x:f>
      </x:c>
      <x:c r="I148" s="30" t="n">
        <x:f>IF(OR(B148="",H148&lt;&gt;""),0,D148)</x:f>
        <x:v>0</x:v>
      </x:c>
      <x:c r="J148" s="30" t="n">
        <x:f>IF(OR(B148="",H148&lt;&gt;""),0,G148)</x:f>
        <x:v>0</x:v>
      </x:c>
      <x:c r="K148" s="29" t="n">
        <x:f>IF(B148="",0,IF(H148="",0,1))</x:f>
        <x:v>0</x:v>
      </x:c>
    </x:row>
    <x:row r="149">
      <x:c r="A149" s="32"/>
      <x:c r="B149" s="16"/>
      <x:c r="C149" s="33" t="str">
        <x:f>IFERROR(VLOOKUP(B149,'商品映射'!$A$2:$B$50,2,FALSE),"待补映射")</x:f>
      </x:c>
      <x:c r="D149" s="34"/>
      <x:c r="E149" s="35"/>
      <x:c r="F149" s="16"/>
      <x:c r="G149" s="36" t="n">
        <x:f>IF(OR(D149&lt;=0,E149&lt;=0),0,D149*E149)</x:f>
        <x:v>0</x:v>
      </x:c>
      <x:c r="H149" s="33" t="str">
        <x:f>IF(B149="","",IF(C149="待补映射","未匹配商品",IF(D149&lt;=0,"数量异常",IF(E149&lt;=0,"单价异常",IF(COUNTIF($F$2:F149,F149)&gt;1,"订单号重复","")))))</x:f>
      </x:c>
      <x:c r="I149" s="30" t="n">
        <x:f>IF(OR(B149="",H149&lt;&gt;""),0,D149)</x:f>
        <x:v>0</x:v>
      </x:c>
      <x:c r="J149" s="30" t="n">
        <x:f>IF(OR(B149="",H149&lt;&gt;""),0,G149)</x:f>
        <x:v>0</x:v>
      </x:c>
      <x:c r="K149" s="29" t="n">
        <x:f>IF(B149="",0,IF(H149="",0,1))</x:f>
        <x:v>0</x:v>
      </x:c>
    </x:row>
    <x:row r="150">
      <x:c r="A150" s="32"/>
      <x:c r="B150" s="16"/>
      <x:c r="C150" s="33" t="str">
        <x:f>IFERROR(VLOOKUP(B150,'商品映射'!$A$2:$B$50,2,FALSE),"待补映射")</x:f>
      </x:c>
      <x:c r="D150" s="34"/>
      <x:c r="E150" s="35"/>
      <x:c r="F150" s="16"/>
      <x:c r="G150" s="36" t="n">
        <x:f>IF(OR(D150&lt;=0,E150&lt;=0),0,D150*E150)</x:f>
        <x:v>0</x:v>
      </x:c>
      <x:c r="H150" s="33" t="str">
        <x:f>IF(B150="","",IF(C150="待补映射","未匹配商品",IF(D150&lt;=0,"数量异常",IF(E150&lt;=0,"单价异常",IF(COUNTIF($F$2:F150,F150)&gt;1,"订单号重复","")))))</x:f>
      </x:c>
      <x:c r="I150" s="30" t="n">
        <x:f>IF(OR(B150="",H150&lt;&gt;""),0,D150)</x:f>
        <x:v>0</x:v>
      </x:c>
      <x:c r="J150" s="30" t="n">
        <x:f>IF(OR(B150="",H150&lt;&gt;""),0,G150)</x:f>
        <x:v>0</x:v>
      </x:c>
      <x:c r="K150" s="29" t="n">
        <x:f>IF(B150="",0,IF(H150="",0,1))</x:f>
        <x:v>0</x:v>
      </x:c>
    </x:row>
    <x:row r="151">
      <x:c r="A151" s="32"/>
      <x:c r="B151" s="16"/>
      <x:c r="C151" s="33" t="str">
        <x:f>IFERROR(VLOOKUP(B151,'商品映射'!$A$2:$B$50,2,FALSE),"待补映射")</x:f>
      </x:c>
      <x:c r="D151" s="34"/>
      <x:c r="E151" s="35"/>
      <x:c r="F151" s="16"/>
      <x:c r="G151" s="36" t="n">
        <x:f>IF(OR(D151&lt;=0,E151&lt;=0),0,D151*E151)</x:f>
        <x:v>0</x:v>
      </x:c>
      <x:c r="H151" s="33" t="str">
        <x:f>IF(B151="","",IF(C151="待补映射","未匹配商品",IF(D151&lt;=0,"数量异常",IF(E151&lt;=0,"单价异常",IF(COUNTIF($F$2:F151,F151)&gt;1,"订单号重复","")))))</x:f>
      </x:c>
      <x:c r="I151" s="30" t="n">
        <x:f>IF(OR(B151="",H151&lt;&gt;""),0,D151)</x:f>
        <x:v>0</x:v>
      </x:c>
      <x:c r="J151" s="30" t="n">
        <x:f>IF(OR(B151="",H151&lt;&gt;""),0,G151)</x:f>
        <x:v>0</x:v>
      </x:c>
      <x:c r="K151" s="29" t="n">
        <x:f>IF(B151="",0,IF(H151="",0,1))</x:f>
        <x:v>0</x:v>
      </x:c>
    </x:row>
    <x:row r="152">
      <x:c r="A152" s="32"/>
      <x:c r="B152" s="16"/>
      <x:c r="C152" s="33" t="str">
        <x:f>IFERROR(VLOOKUP(B152,'商品映射'!$A$2:$B$50,2,FALSE),"待补映射")</x:f>
      </x:c>
      <x:c r="D152" s="34"/>
      <x:c r="E152" s="35"/>
      <x:c r="F152" s="16"/>
      <x:c r="G152" s="36" t="n">
        <x:f>IF(OR(D152&lt;=0,E152&lt;=0),0,D152*E152)</x:f>
        <x:v>0</x:v>
      </x:c>
      <x:c r="H152" s="33" t="str">
        <x:f>IF(B152="","",IF(C152="待补映射","未匹配商品",IF(D152&lt;=0,"数量异常",IF(E152&lt;=0,"单价异常",IF(COUNTIF($F$2:F152,F152)&gt;1,"订单号重复","")))))</x:f>
      </x:c>
      <x:c r="I152" s="30" t="n">
        <x:f>IF(OR(B152="",H152&lt;&gt;""),0,D152)</x:f>
        <x:v>0</x:v>
      </x:c>
      <x:c r="J152" s="30" t="n">
        <x:f>IF(OR(B152="",H152&lt;&gt;""),0,G152)</x:f>
        <x:v>0</x:v>
      </x:c>
      <x:c r="K152" s="29" t="n">
        <x:f>IF(B152="",0,IF(H152="",0,1))</x:f>
        <x:v>0</x:v>
      </x:c>
    </x:row>
    <x:row r="153">
      <x:c r="A153" s="32"/>
      <x:c r="B153" s="16"/>
      <x:c r="C153" s="33" t="str">
        <x:f>IFERROR(VLOOKUP(B153,'商品映射'!$A$2:$B$50,2,FALSE),"待补映射")</x:f>
      </x:c>
      <x:c r="D153" s="34"/>
      <x:c r="E153" s="35"/>
      <x:c r="F153" s="16"/>
      <x:c r="G153" s="36" t="n">
        <x:f>IF(OR(D153&lt;=0,E153&lt;=0),0,D153*E153)</x:f>
        <x:v>0</x:v>
      </x:c>
      <x:c r="H153" s="33" t="str">
        <x:f>IF(B153="","",IF(C153="待补映射","未匹配商品",IF(D153&lt;=0,"数量异常",IF(E153&lt;=0,"单价异常",IF(COUNTIF($F$2:F153,F153)&gt;1,"订单号重复","")))))</x:f>
      </x:c>
      <x:c r="I153" s="30" t="n">
        <x:f>IF(OR(B153="",H153&lt;&gt;""),0,D153)</x:f>
        <x:v>0</x:v>
      </x:c>
      <x:c r="J153" s="30" t="n">
        <x:f>IF(OR(B153="",H153&lt;&gt;""),0,G153)</x:f>
        <x:v>0</x:v>
      </x:c>
      <x:c r="K153" s="29" t="n">
        <x:f>IF(B153="",0,IF(H153="",0,1))</x:f>
        <x:v>0</x:v>
      </x:c>
    </x:row>
    <x:row r="154">
      <x:c r="A154" s="32"/>
      <x:c r="B154" s="16"/>
      <x:c r="C154" s="33" t="str">
        <x:f>IFERROR(VLOOKUP(B154,'商品映射'!$A$2:$B$50,2,FALSE),"待补映射")</x:f>
      </x:c>
      <x:c r="D154" s="34"/>
      <x:c r="E154" s="35"/>
      <x:c r="F154" s="16"/>
      <x:c r="G154" s="36" t="n">
        <x:f>IF(OR(D154&lt;=0,E154&lt;=0),0,D154*E154)</x:f>
        <x:v>0</x:v>
      </x:c>
      <x:c r="H154" s="33" t="str">
        <x:f>IF(B154="","",IF(C154="待补映射","未匹配商品",IF(D154&lt;=0,"数量异常",IF(E154&lt;=0,"单价异常",IF(COUNTIF($F$2:F154,F154)&gt;1,"订单号重复","")))))</x:f>
      </x:c>
      <x:c r="I154" s="30" t="n">
        <x:f>IF(OR(B154="",H154&lt;&gt;""),0,D154)</x:f>
        <x:v>0</x:v>
      </x:c>
      <x:c r="J154" s="30" t="n">
        <x:f>IF(OR(B154="",H154&lt;&gt;""),0,G154)</x:f>
        <x:v>0</x:v>
      </x:c>
      <x:c r="K154" s="29" t="n">
        <x:f>IF(B154="",0,IF(H154="",0,1))</x:f>
        <x:v>0</x:v>
      </x:c>
    </x:row>
    <x:row r="155">
      <x:c r="A155" s="32"/>
      <x:c r="B155" s="16"/>
      <x:c r="C155" s="33" t="str">
        <x:f>IFERROR(VLOOKUP(B155,'商品映射'!$A$2:$B$50,2,FALSE),"待补映射")</x:f>
      </x:c>
      <x:c r="D155" s="34"/>
      <x:c r="E155" s="35"/>
      <x:c r="F155" s="16"/>
      <x:c r="G155" s="36" t="n">
        <x:f>IF(OR(D155&lt;=0,E155&lt;=0),0,D155*E155)</x:f>
        <x:v>0</x:v>
      </x:c>
      <x:c r="H155" s="33" t="str">
        <x:f>IF(B155="","",IF(C155="待补映射","未匹配商品",IF(D155&lt;=0,"数量异常",IF(E155&lt;=0,"单价异常",IF(COUNTIF($F$2:F155,F155)&gt;1,"订单号重复","")))))</x:f>
      </x:c>
      <x:c r="I155" s="30" t="n">
        <x:f>IF(OR(B155="",H155&lt;&gt;""),0,D155)</x:f>
        <x:v>0</x:v>
      </x:c>
      <x:c r="J155" s="30" t="n">
        <x:f>IF(OR(B155="",H155&lt;&gt;""),0,G155)</x:f>
        <x:v>0</x:v>
      </x:c>
      <x:c r="K155" s="29" t="n">
        <x:f>IF(B155="",0,IF(H155="",0,1))</x:f>
        <x:v>0</x:v>
      </x:c>
    </x:row>
    <x:row r="156">
      <x:c r="A156" s="32"/>
      <x:c r="B156" s="16"/>
      <x:c r="C156" s="33" t="str">
        <x:f>IFERROR(VLOOKUP(B156,'商品映射'!$A$2:$B$50,2,FALSE),"待补映射")</x:f>
      </x:c>
      <x:c r="D156" s="34"/>
      <x:c r="E156" s="35"/>
      <x:c r="F156" s="16"/>
      <x:c r="G156" s="36" t="n">
        <x:f>IF(OR(D156&lt;=0,E156&lt;=0),0,D156*E156)</x:f>
        <x:v>0</x:v>
      </x:c>
      <x:c r="H156" s="33" t="str">
        <x:f>IF(B156="","",IF(C156="待补映射","未匹配商品",IF(D156&lt;=0,"数量异常",IF(E156&lt;=0,"单价异常",IF(COUNTIF($F$2:F156,F156)&gt;1,"订单号重复","")))))</x:f>
      </x:c>
      <x:c r="I156" s="30" t="n">
        <x:f>IF(OR(B156="",H156&lt;&gt;""),0,D156)</x:f>
        <x:v>0</x:v>
      </x:c>
      <x:c r="J156" s="30" t="n">
        <x:f>IF(OR(B156="",H156&lt;&gt;""),0,G156)</x:f>
        <x:v>0</x:v>
      </x:c>
      <x:c r="K156" s="29" t="n">
        <x:f>IF(B156="",0,IF(H156="",0,1))</x:f>
        <x:v>0</x:v>
      </x:c>
    </x:row>
    <x:row r="157">
      <x:c r="A157" s="32"/>
      <x:c r="B157" s="16"/>
      <x:c r="C157" s="33" t="str">
        <x:f>IFERROR(VLOOKUP(B157,'商品映射'!$A$2:$B$50,2,FALSE),"待补映射")</x:f>
      </x:c>
      <x:c r="D157" s="34"/>
      <x:c r="E157" s="35"/>
      <x:c r="F157" s="16"/>
      <x:c r="G157" s="36" t="n">
        <x:f>IF(OR(D157&lt;=0,E157&lt;=0),0,D157*E157)</x:f>
        <x:v>0</x:v>
      </x:c>
      <x:c r="H157" s="33" t="str">
        <x:f>IF(B157="","",IF(C157="待补映射","未匹配商品",IF(D157&lt;=0,"数量异常",IF(E157&lt;=0,"单价异常",IF(COUNTIF($F$2:F157,F157)&gt;1,"订单号重复","")))))</x:f>
      </x:c>
      <x:c r="I157" s="30" t="n">
        <x:f>IF(OR(B157="",H157&lt;&gt;""),0,D157)</x:f>
        <x:v>0</x:v>
      </x:c>
      <x:c r="J157" s="30" t="n">
        <x:f>IF(OR(B157="",H157&lt;&gt;""),0,G157)</x:f>
        <x:v>0</x:v>
      </x:c>
      <x:c r="K157" s="29" t="n">
        <x:f>IF(B157="",0,IF(H157="",0,1))</x:f>
        <x:v>0</x:v>
      </x:c>
    </x:row>
    <x:row r="158">
      <x:c r="A158" s="32"/>
      <x:c r="B158" s="16"/>
      <x:c r="C158" s="33" t="str">
        <x:f>IFERROR(VLOOKUP(B158,'商品映射'!$A$2:$B$50,2,FALSE),"待补映射")</x:f>
      </x:c>
      <x:c r="D158" s="34"/>
      <x:c r="E158" s="35"/>
      <x:c r="F158" s="16"/>
      <x:c r="G158" s="36" t="n">
        <x:f>IF(OR(D158&lt;=0,E158&lt;=0),0,D158*E158)</x:f>
        <x:v>0</x:v>
      </x:c>
      <x:c r="H158" s="33" t="str">
        <x:f>IF(B158="","",IF(C158="待补映射","未匹配商品",IF(D158&lt;=0,"数量异常",IF(E158&lt;=0,"单价异常",IF(COUNTIF($F$2:F158,F158)&gt;1,"订单号重复","")))))</x:f>
      </x:c>
      <x:c r="I158" s="30" t="n">
        <x:f>IF(OR(B158="",H158&lt;&gt;""),0,D158)</x:f>
        <x:v>0</x:v>
      </x:c>
      <x:c r="J158" s="30" t="n">
        <x:f>IF(OR(B158="",H158&lt;&gt;""),0,G158)</x:f>
        <x:v>0</x:v>
      </x:c>
      <x:c r="K158" s="29" t="n">
        <x:f>IF(B158="",0,IF(H158="",0,1))</x:f>
        <x:v>0</x:v>
      </x:c>
    </x:row>
    <x:row r="159">
      <x:c r="A159" s="32"/>
      <x:c r="B159" s="16"/>
      <x:c r="C159" s="33" t="str">
        <x:f>IFERROR(VLOOKUP(B159,'商品映射'!$A$2:$B$50,2,FALSE),"待补映射")</x:f>
      </x:c>
      <x:c r="D159" s="34"/>
      <x:c r="E159" s="35"/>
      <x:c r="F159" s="16"/>
      <x:c r="G159" s="36" t="n">
        <x:f>IF(OR(D159&lt;=0,E159&lt;=0),0,D159*E159)</x:f>
        <x:v>0</x:v>
      </x:c>
      <x:c r="H159" s="33" t="str">
        <x:f>IF(B159="","",IF(C159="待补映射","未匹配商品",IF(D159&lt;=0,"数量异常",IF(E159&lt;=0,"单价异常",IF(COUNTIF($F$2:F159,F159)&gt;1,"订单号重复","")))))</x:f>
      </x:c>
      <x:c r="I159" s="30" t="n">
        <x:f>IF(OR(B159="",H159&lt;&gt;""),0,D159)</x:f>
        <x:v>0</x:v>
      </x:c>
      <x:c r="J159" s="30" t="n">
        <x:f>IF(OR(B159="",H159&lt;&gt;""),0,G159)</x:f>
        <x:v>0</x:v>
      </x:c>
      <x:c r="K159" s="29" t="n">
        <x:f>IF(B159="",0,IF(H159="",0,1))</x:f>
        <x:v>0</x:v>
      </x:c>
    </x:row>
    <x:row r="160">
      <x:c r="A160" s="32"/>
      <x:c r="B160" s="16"/>
      <x:c r="C160" s="33" t="str">
        <x:f>IFERROR(VLOOKUP(B160,'商品映射'!$A$2:$B$50,2,FALSE),"待补映射")</x:f>
      </x:c>
      <x:c r="D160" s="34"/>
      <x:c r="E160" s="35"/>
      <x:c r="F160" s="16"/>
      <x:c r="G160" s="36" t="n">
        <x:f>IF(OR(D160&lt;=0,E160&lt;=0),0,D160*E160)</x:f>
        <x:v>0</x:v>
      </x:c>
      <x:c r="H160" s="33" t="str">
        <x:f>IF(B160="","",IF(C160="待补映射","未匹配商品",IF(D160&lt;=0,"数量异常",IF(E160&lt;=0,"单价异常",IF(COUNTIF($F$2:F160,F160)&gt;1,"订单号重复","")))))</x:f>
      </x:c>
      <x:c r="I160" s="30" t="n">
        <x:f>IF(OR(B160="",H160&lt;&gt;""),0,D160)</x:f>
        <x:v>0</x:v>
      </x:c>
      <x:c r="J160" s="30" t="n">
        <x:f>IF(OR(B160="",H160&lt;&gt;""),0,G160)</x:f>
        <x:v>0</x:v>
      </x:c>
      <x:c r="K160" s="29" t="n">
        <x:f>IF(B160="",0,IF(H160="",0,1))</x:f>
        <x:v>0</x:v>
      </x:c>
    </x:row>
    <x:row r="161">
      <x:c r="A161" s="32"/>
      <x:c r="B161" s="16"/>
      <x:c r="C161" s="33" t="str">
        <x:f>IFERROR(VLOOKUP(B161,'商品映射'!$A$2:$B$50,2,FALSE),"待补映射")</x:f>
      </x:c>
      <x:c r="D161" s="34"/>
      <x:c r="E161" s="35"/>
      <x:c r="F161" s="16"/>
      <x:c r="G161" s="36" t="n">
        <x:f>IF(OR(D161&lt;=0,E161&lt;=0),0,D161*E161)</x:f>
        <x:v>0</x:v>
      </x:c>
      <x:c r="H161" s="33" t="str">
        <x:f>IF(B161="","",IF(C161="待补映射","未匹配商品",IF(D161&lt;=0,"数量异常",IF(E161&lt;=0,"单价异常",IF(COUNTIF($F$2:F161,F161)&gt;1,"订单号重复","")))))</x:f>
      </x:c>
      <x:c r="I161" s="30" t="n">
        <x:f>IF(OR(B161="",H161&lt;&gt;""),0,D161)</x:f>
        <x:v>0</x:v>
      </x:c>
      <x:c r="J161" s="30" t="n">
        <x:f>IF(OR(B161="",H161&lt;&gt;""),0,G161)</x:f>
        <x:v>0</x:v>
      </x:c>
      <x:c r="K161" s="29" t="n">
        <x:f>IF(B161="",0,IF(H161="",0,1))</x:f>
        <x:v>0</x:v>
      </x:c>
    </x:row>
    <x:row r="162">
      <x:c r="A162" s="32"/>
      <x:c r="B162" s="16"/>
      <x:c r="C162" s="33" t="str">
        <x:f>IFERROR(VLOOKUP(B162,'商品映射'!$A$2:$B$50,2,FALSE),"待补映射")</x:f>
      </x:c>
      <x:c r="D162" s="34"/>
      <x:c r="E162" s="35"/>
      <x:c r="F162" s="16"/>
      <x:c r="G162" s="36" t="n">
        <x:f>IF(OR(D162&lt;=0,E162&lt;=0),0,D162*E162)</x:f>
        <x:v>0</x:v>
      </x:c>
      <x:c r="H162" s="33" t="str">
        <x:f>IF(B162="","",IF(C162="待补映射","未匹配商品",IF(D162&lt;=0,"数量异常",IF(E162&lt;=0,"单价异常",IF(COUNTIF($F$2:F162,F162)&gt;1,"订单号重复","")))))</x:f>
      </x:c>
      <x:c r="I162" s="30" t="n">
        <x:f>IF(OR(B162="",H162&lt;&gt;""),0,D162)</x:f>
        <x:v>0</x:v>
      </x:c>
      <x:c r="J162" s="30" t="n">
        <x:f>IF(OR(B162="",H162&lt;&gt;""),0,G162)</x:f>
        <x:v>0</x:v>
      </x:c>
      <x:c r="K162" s="29" t="n">
        <x:f>IF(B162="",0,IF(H162="",0,1))</x:f>
        <x:v>0</x:v>
      </x:c>
    </x:row>
    <x:row r="163">
      <x:c r="A163" s="32"/>
      <x:c r="B163" s="16"/>
      <x:c r="C163" s="33" t="str">
        <x:f>IFERROR(VLOOKUP(B163,'商品映射'!$A$2:$B$50,2,FALSE),"待补映射")</x:f>
      </x:c>
      <x:c r="D163" s="34"/>
      <x:c r="E163" s="35"/>
      <x:c r="F163" s="16"/>
      <x:c r="G163" s="36" t="n">
        <x:f>IF(OR(D163&lt;=0,E163&lt;=0),0,D163*E163)</x:f>
        <x:v>0</x:v>
      </x:c>
      <x:c r="H163" s="33" t="str">
        <x:f>IF(B163="","",IF(C163="待补映射","未匹配商品",IF(D163&lt;=0,"数量异常",IF(E163&lt;=0,"单价异常",IF(COUNTIF($F$2:F163,F163)&gt;1,"订单号重复","")))))</x:f>
      </x:c>
      <x:c r="I163" s="30" t="n">
        <x:f>IF(OR(B163="",H163&lt;&gt;""),0,D163)</x:f>
        <x:v>0</x:v>
      </x:c>
      <x:c r="J163" s="30" t="n">
        <x:f>IF(OR(B163="",H163&lt;&gt;""),0,G163)</x:f>
        <x:v>0</x:v>
      </x:c>
      <x:c r="K163" s="29" t="n">
        <x:f>IF(B163="",0,IF(H163="",0,1))</x:f>
        <x:v>0</x:v>
      </x:c>
    </x:row>
    <x:row r="164">
      <x:c r="A164" s="32"/>
      <x:c r="B164" s="16"/>
      <x:c r="C164" s="33" t="str">
        <x:f>IFERROR(VLOOKUP(B164,'商品映射'!$A$2:$B$50,2,FALSE),"待补映射")</x:f>
      </x:c>
      <x:c r="D164" s="34"/>
      <x:c r="E164" s="35"/>
      <x:c r="F164" s="16"/>
      <x:c r="G164" s="36" t="n">
        <x:f>IF(OR(D164&lt;=0,E164&lt;=0),0,D164*E164)</x:f>
        <x:v>0</x:v>
      </x:c>
      <x:c r="H164" s="33" t="str">
        <x:f>IF(B164="","",IF(C164="待补映射","未匹配商品",IF(D164&lt;=0,"数量异常",IF(E164&lt;=0,"单价异常",IF(COUNTIF($F$2:F164,F164)&gt;1,"订单号重复","")))))</x:f>
      </x:c>
      <x:c r="I164" s="30" t="n">
        <x:f>IF(OR(B164="",H164&lt;&gt;""),0,D164)</x:f>
        <x:v>0</x:v>
      </x:c>
      <x:c r="J164" s="30" t="n">
        <x:f>IF(OR(B164="",H164&lt;&gt;""),0,G164)</x:f>
        <x:v>0</x:v>
      </x:c>
      <x:c r="K164" s="29" t="n">
        <x:f>IF(B164="",0,IF(H164="",0,1))</x:f>
        <x:v>0</x:v>
      </x:c>
    </x:row>
    <x:row r="165">
      <x:c r="A165" s="32"/>
      <x:c r="B165" s="16"/>
      <x:c r="C165" s="33" t="str">
        <x:f>IFERROR(VLOOKUP(B165,'商品映射'!$A$2:$B$50,2,FALSE),"待补映射")</x:f>
      </x:c>
      <x:c r="D165" s="34"/>
      <x:c r="E165" s="35"/>
      <x:c r="F165" s="16"/>
      <x:c r="G165" s="36" t="n">
        <x:f>IF(OR(D165&lt;=0,E165&lt;=0),0,D165*E165)</x:f>
        <x:v>0</x:v>
      </x:c>
      <x:c r="H165" s="33" t="str">
        <x:f>IF(B165="","",IF(C165="待补映射","未匹配商品",IF(D165&lt;=0,"数量异常",IF(E165&lt;=0,"单价异常",IF(COUNTIF($F$2:F165,F165)&gt;1,"订单号重复","")))))</x:f>
      </x:c>
      <x:c r="I165" s="30" t="n">
        <x:f>IF(OR(B165="",H165&lt;&gt;""),0,D165)</x:f>
        <x:v>0</x:v>
      </x:c>
      <x:c r="J165" s="30" t="n">
        <x:f>IF(OR(B165="",H165&lt;&gt;""),0,G165)</x:f>
        <x:v>0</x:v>
      </x:c>
      <x:c r="K165" s="29" t="n">
        <x:f>IF(B165="",0,IF(H165="",0,1))</x:f>
        <x:v>0</x:v>
      </x:c>
    </x:row>
    <x:row r="166">
      <x:c r="A166" s="32"/>
      <x:c r="B166" s="16"/>
      <x:c r="C166" s="33" t="str">
        <x:f>IFERROR(VLOOKUP(B166,'商品映射'!$A$2:$B$50,2,FALSE),"待补映射")</x:f>
      </x:c>
      <x:c r="D166" s="34"/>
      <x:c r="E166" s="35"/>
      <x:c r="F166" s="16"/>
      <x:c r="G166" s="36" t="n">
        <x:f>IF(OR(D166&lt;=0,E166&lt;=0),0,D166*E166)</x:f>
        <x:v>0</x:v>
      </x:c>
      <x:c r="H166" s="33" t="str">
        <x:f>IF(B166="","",IF(C166="待补映射","未匹配商品",IF(D166&lt;=0,"数量异常",IF(E166&lt;=0,"单价异常",IF(COUNTIF($F$2:F166,F166)&gt;1,"订单号重复","")))))</x:f>
      </x:c>
      <x:c r="I166" s="30" t="n">
        <x:f>IF(OR(B166="",H166&lt;&gt;""),0,D166)</x:f>
        <x:v>0</x:v>
      </x:c>
      <x:c r="J166" s="30" t="n">
        <x:f>IF(OR(B166="",H166&lt;&gt;""),0,G166)</x:f>
        <x:v>0</x:v>
      </x:c>
      <x:c r="K166" s="29" t="n">
        <x:f>IF(B166="",0,IF(H166="",0,1))</x:f>
        <x:v>0</x:v>
      </x:c>
    </x:row>
    <x:row r="167">
      <x:c r="A167" s="32"/>
      <x:c r="B167" s="16"/>
      <x:c r="C167" s="33" t="str">
        <x:f>IFERROR(VLOOKUP(B167,'商品映射'!$A$2:$B$50,2,FALSE),"待补映射")</x:f>
      </x:c>
      <x:c r="D167" s="34"/>
      <x:c r="E167" s="35"/>
      <x:c r="F167" s="16"/>
      <x:c r="G167" s="36" t="n">
        <x:f>IF(OR(D167&lt;=0,E167&lt;=0),0,D167*E167)</x:f>
        <x:v>0</x:v>
      </x:c>
      <x:c r="H167" s="33" t="str">
        <x:f>IF(B167="","",IF(C167="待补映射","未匹配商品",IF(D167&lt;=0,"数量异常",IF(E167&lt;=0,"单价异常",IF(COUNTIF($F$2:F167,F167)&gt;1,"订单号重复","")))))</x:f>
      </x:c>
      <x:c r="I167" s="30" t="n">
        <x:f>IF(OR(B167="",H167&lt;&gt;""),0,D167)</x:f>
        <x:v>0</x:v>
      </x:c>
      <x:c r="J167" s="30" t="n">
        <x:f>IF(OR(B167="",H167&lt;&gt;""),0,G167)</x:f>
        <x:v>0</x:v>
      </x:c>
      <x:c r="K167" s="29" t="n">
        <x:f>IF(B167="",0,IF(H167="",0,1))</x:f>
        <x:v>0</x:v>
      </x:c>
    </x:row>
    <x:row r="168">
      <x:c r="A168" s="32"/>
      <x:c r="B168" s="16"/>
      <x:c r="C168" s="33" t="str">
        <x:f>IFERROR(VLOOKUP(B168,'商品映射'!$A$2:$B$50,2,FALSE),"待补映射")</x:f>
      </x:c>
      <x:c r="D168" s="34"/>
      <x:c r="E168" s="35"/>
      <x:c r="F168" s="16"/>
      <x:c r="G168" s="36" t="n">
        <x:f>IF(OR(D168&lt;=0,E168&lt;=0),0,D168*E168)</x:f>
        <x:v>0</x:v>
      </x:c>
      <x:c r="H168" s="33" t="str">
        <x:f>IF(B168="","",IF(C168="待补映射","未匹配商品",IF(D168&lt;=0,"数量异常",IF(E168&lt;=0,"单价异常",IF(COUNTIF($F$2:F168,F168)&gt;1,"订单号重复","")))))</x:f>
      </x:c>
      <x:c r="I168" s="30" t="n">
        <x:f>IF(OR(B168="",H168&lt;&gt;""),0,D168)</x:f>
        <x:v>0</x:v>
      </x:c>
      <x:c r="J168" s="30" t="n">
        <x:f>IF(OR(B168="",H168&lt;&gt;""),0,G168)</x:f>
        <x:v>0</x:v>
      </x:c>
      <x:c r="K168" s="29" t="n">
        <x:f>IF(B168="",0,IF(H168="",0,1))</x:f>
        <x:v>0</x:v>
      </x:c>
    </x:row>
    <x:row r="169">
      <x:c r="A169" s="32"/>
      <x:c r="B169" s="16"/>
      <x:c r="C169" s="33" t="str">
        <x:f>IFERROR(VLOOKUP(B169,'商品映射'!$A$2:$B$50,2,FALSE),"待补映射")</x:f>
      </x:c>
      <x:c r="D169" s="34"/>
      <x:c r="E169" s="35"/>
      <x:c r="F169" s="16"/>
      <x:c r="G169" s="36" t="n">
        <x:f>IF(OR(D169&lt;=0,E169&lt;=0),0,D169*E169)</x:f>
        <x:v>0</x:v>
      </x:c>
      <x:c r="H169" s="33" t="str">
        <x:f>IF(B169="","",IF(C169="待补映射","未匹配商品",IF(D169&lt;=0,"数量异常",IF(E169&lt;=0,"单价异常",IF(COUNTIF($F$2:F169,F169)&gt;1,"订单号重复","")))))</x:f>
      </x:c>
      <x:c r="I169" s="30" t="n">
        <x:f>IF(OR(B169="",H169&lt;&gt;""),0,D169)</x:f>
        <x:v>0</x:v>
      </x:c>
      <x:c r="J169" s="30" t="n">
        <x:f>IF(OR(B169="",H169&lt;&gt;""),0,G169)</x:f>
        <x:v>0</x:v>
      </x:c>
      <x:c r="K169" s="29" t="n">
        <x:f>IF(B169="",0,IF(H169="",0,1))</x:f>
        <x:v>0</x:v>
      </x:c>
    </x:row>
    <x:row r="170">
      <x:c r="A170" s="32"/>
      <x:c r="B170" s="16"/>
      <x:c r="C170" s="33" t="str">
        <x:f>IFERROR(VLOOKUP(B170,'商品映射'!$A$2:$B$50,2,FALSE),"待补映射")</x:f>
      </x:c>
      <x:c r="D170" s="34"/>
      <x:c r="E170" s="35"/>
      <x:c r="F170" s="16"/>
      <x:c r="G170" s="36" t="n">
        <x:f>IF(OR(D170&lt;=0,E170&lt;=0),0,D170*E170)</x:f>
        <x:v>0</x:v>
      </x:c>
      <x:c r="H170" s="33" t="str">
        <x:f>IF(B170="","",IF(C170="待补映射","未匹配商品",IF(D170&lt;=0,"数量异常",IF(E170&lt;=0,"单价异常",IF(COUNTIF($F$2:F170,F170)&gt;1,"订单号重复","")))))</x:f>
      </x:c>
      <x:c r="I170" s="30" t="n">
        <x:f>IF(OR(B170="",H170&lt;&gt;""),0,D170)</x:f>
        <x:v>0</x:v>
      </x:c>
      <x:c r="J170" s="30" t="n">
        <x:f>IF(OR(B170="",H170&lt;&gt;""),0,G170)</x:f>
        <x:v>0</x:v>
      </x:c>
      <x:c r="K170" s="29" t="n">
        <x:f>IF(B170="",0,IF(H170="",0,1))</x:f>
        <x:v>0</x:v>
      </x:c>
    </x:row>
    <x:row r="171">
      <x:c r="A171" s="32"/>
      <x:c r="B171" s="16"/>
      <x:c r="C171" s="33" t="str">
        <x:f>IFERROR(VLOOKUP(B171,'商品映射'!$A$2:$B$50,2,FALSE),"待补映射")</x:f>
      </x:c>
      <x:c r="D171" s="34"/>
      <x:c r="E171" s="35"/>
      <x:c r="F171" s="16"/>
      <x:c r="G171" s="36" t="n">
        <x:f>IF(OR(D171&lt;=0,E171&lt;=0),0,D171*E171)</x:f>
        <x:v>0</x:v>
      </x:c>
      <x:c r="H171" s="33" t="str">
        <x:f>IF(B171="","",IF(C171="待补映射","未匹配商品",IF(D171&lt;=0,"数量异常",IF(E171&lt;=0,"单价异常",IF(COUNTIF($F$2:F171,F171)&gt;1,"订单号重复","")))))</x:f>
      </x:c>
      <x:c r="I171" s="30" t="n">
        <x:f>IF(OR(B171="",H171&lt;&gt;""),0,D171)</x:f>
        <x:v>0</x:v>
      </x:c>
      <x:c r="J171" s="30" t="n">
        <x:f>IF(OR(B171="",H171&lt;&gt;""),0,G171)</x:f>
        <x:v>0</x:v>
      </x:c>
      <x:c r="K171" s="29" t="n">
        <x:f>IF(B171="",0,IF(H171="",0,1))</x:f>
        <x:v>0</x:v>
      </x:c>
    </x:row>
    <x:row r="172">
      <x:c r="A172" s="32"/>
      <x:c r="B172" s="16"/>
      <x:c r="C172" s="33" t="str">
        <x:f>IFERROR(VLOOKUP(B172,'商品映射'!$A$2:$B$50,2,FALSE),"待补映射")</x:f>
      </x:c>
      <x:c r="D172" s="34"/>
      <x:c r="E172" s="35"/>
      <x:c r="F172" s="16"/>
      <x:c r="G172" s="36" t="n">
        <x:f>IF(OR(D172&lt;=0,E172&lt;=0),0,D172*E172)</x:f>
        <x:v>0</x:v>
      </x:c>
      <x:c r="H172" s="33" t="str">
        <x:f>IF(B172="","",IF(C172="待补映射","未匹配商品",IF(D172&lt;=0,"数量异常",IF(E172&lt;=0,"单价异常",IF(COUNTIF($F$2:F172,F172)&gt;1,"订单号重复","")))))</x:f>
      </x:c>
      <x:c r="I172" s="30" t="n">
        <x:f>IF(OR(B172="",H172&lt;&gt;""),0,D172)</x:f>
        <x:v>0</x:v>
      </x:c>
      <x:c r="J172" s="30" t="n">
        <x:f>IF(OR(B172="",H172&lt;&gt;""),0,G172)</x:f>
        <x:v>0</x:v>
      </x:c>
      <x:c r="K172" s="29" t="n">
        <x:f>IF(B172="",0,IF(H172="",0,1))</x:f>
        <x:v>0</x:v>
      </x:c>
    </x:row>
    <x:row r="173">
      <x:c r="A173" s="32"/>
      <x:c r="B173" s="16"/>
      <x:c r="C173" s="33" t="str">
        <x:f>IFERROR(VLOOKUP(B173,'商品映射'!$A$2:$B$50,2,FALSE),"待补映射")</x:f>
      </x:c>
      <x:c r="D173" s="34"/>
      <x:c r="E173" s="35"/>
      <x:c r="F173" s="16"/>
      <x:c r="G173" s="36" t="n">
        <x:f>IF(OR(D173&lt;=0,E173&lt;=0),0,D173*E173)</x:f>
        <x:v>0</x:v>
      </x:c>
      <x:c r="H173" s="33" t="str">
        <x:f>IF(B173="","",IF(C173="待补映射","未匹配商品",IF(D173&lt;=0,"数量异常",IF(E173&lt;=0,"单价异常",IF(COUNTIF($F$2:F173,F173)&gt;1,"订单号重复","")))))</x:f>
      </x:c>
      <x:c r="I173" s="30" t="n">
        <x:f>IF(OR(B173="",H173&lt;&gt;""),0,D173)</x:f>
        <x:v>0</x:v>
      </x:c>
      <x:c r="J173" s="30" t="n">
        <x:f>IF(OR(B173="",H173&lt;&gt;""),0,G173)</x:f>
        <x:v>0</x:v>
      </x:c>
      <x:c r="K173" s="29" t="n">
        <x:f>IF(B173="",0,IF(H173="",0,1))</x:f>
        <x:v>0</x:v>
      </x:c>
    </x:row>
    <x:row r="174">
      <x:c r="A174" s="32"/>
      <x:c r="B174" s="16"/>
      <x:c r="C174" s="33" t="str">
        <x:f>IFERROR(VLOOKUP(B174,'商品映射'!$A$2:$B$50,2,FALSE),"待补映射")</x:f>
      </x:c>
      <x:c r="D174" s="34"/>
      <x:c r="E174" s="35"/>
      <x:c r="F174" s="16"/>
      <x:c r="G174" s="36" t="n">
        <x:f>IF(OR(D174&lt;=0,E174&lt;=0),0,D174*E174)</x:f>
        <x:v>0</x:v>
      </x:c>
      <x:c r="H174" s="33" t="str">
        <x:f>IF(B174="","",IF(C174="待补映射","未匹配商品",IF(D174&lt;=0,"数量异常",IF(E174&lt;=0,"单价异常",IF(COUNTIF($F$2:F174,F174)&gt;1,"订单号重复","")))))</x:f>
      </x:c>
      <x:c r="I174" s="30" t="n">
        <x:f>IF(OR(B174="",H174&lt;&gt;""),0,D174)</x:f>
        <x:v>0</x:v>
      </x:c>
      <x:c r="J174" s="30" t="n">
        <x:f>IF(OR(B174="",H174&lt;&gt;""),0,G174)</x:f>
        <x:v>0</x:v>
      </x:c>
      <x:c r="K174" s="29" t="n">
        <x:f>IF(B174="",0,IF(H174="",0,1))</x:f>
        <x:v>0</x:v>
      </x:c>
    </x:row>
    <x:row r="175">
      <x:c r="A175" s="32"/>
      <x:c r="B175" s="16"/>
      <x:c r="C175" s="33" t="str">
        <x:f>IFERROR(VLOOKUP(B175,'商品映射'!$A$2:$B$50,2,FALSE),"待补映射")</x:f>
      </x:c>
      <x:c r="D175" s="34"/>
      <x:c r="E175" s="35"/>
      <x:c r="F175" s="16"/>
      <x:c r="G175" s="36" t="n">
        <x:f>IF(OR(D175&lt;=0,E175&lt;=0),0,D175*E175)</x:f>
        <x:v>0</x:v>
      </x:c>
      <x:c r="H175" s="33" t="str">
        <x:f>IF(B175="","",IF(C175="待补映射","未匹配商品",IF(D175&lt;=0,"数量异常",IF(E175&lt;=0,"单价异常",IF(COUNTIF($F$2:F175,F175)&gt;1,"订单号重复","")))))</x:f>
      </x:c>
      <x:c r="I175" s="30" t="n">
        <x:f>IF(OR(B175="",H175&lt;&gt;""),0,D175)</x:f>
        <x:v>0</x:v>
      </x:c>
      <x:c r="J175" s="30" t="n">
        <x:f>IF(OR(B175="",H175&lt;&gt;""),0,G175)</x:f>
        <x:v>0</x:v>
      </x:c>
      <x:c r="K175" s="29" t="n">
        <x:f>IF(B175="",0,IF(H175="",0,1))</x:f>
        <x:v>0</x:v>
      </x:c>
    </x:row>
    <x:row r="176">
      <x:c r="A176" s="32"/>
      <x:c r="B176" s="16"/>
      <x:c r="C176" s="33" t="str">
        <x:f>IFERROR(VLOOKUP(B176,'商品映射'!$A$2:$B$50,2,FALSE),"待补映射")</x:f>
      </x:c>
      <x:c r="D176" s="34"/>
      <x:c r="E176" s="35"/>
      <x:c r="F176" s="16"/>
      <x:c r="G176" s="36" t="n">
        <x:f>IF(OR(D176&lt;=0,E176&lt;=0),0,D176*E176)</x:f>
        <x:v>0</x:v>
      </x:c>
      <x:c r="H176" s="33" t="str">
        <x:f>IF(B176="","",IF(C176="待补映射","未匹配商品",IF(D176&lt;=0,"数量异常",IF(E176&lt;=0,"单价异常",IF(COUNTIF($F$2:F176,F176)&gt;1,"订单号重复","")))))</x:f>
      </x:c>
      <x:c r="I176" s="30" t="n">
        <x:f>IF(OR(B176="",H176&lt;&gt;""),0,D176)</x:f>
        <x:v>0</x:v>
      </x:c>
      <x:c r="J176" s="30" t="n">
        <x:f>IF(OR(B176="",H176&lt;&gt;""),0,G176)</x:f>
        <x:v>0</x:v>
      </x:c>
      <x:c r="K176" s="29" t="n">
        <x:f>IF(B176="",0,IF(H176="",0,1))</x:f>
        <x:v>0</x:v>
      </x:c>
    </x:row>
    <x:row r="177">
      <x:c r="A177" s="32"/>
      <x:c r="B177" s="16"/>
      <x:c r="C177" s="33" t="str">
        <x:f>IFERROR(VLOOKUP(B177,'商品映射'!$A$2:$B$50,2,FALSE),"待补映射")</x:f>
      </x:c>
      <x:c r="D177" s="34"/>
      <x:c r="E177" s="35"/>
      <x:c r="F177" s="16"/>
      <x:c r="G177" s="36" t="n">
        <x:f>IF(OR(D177&lt;=0,E177&lt;=0),0,D177*E177)</x:f>
        <x:v>0</x:v>
      </x:c>
      <x:c r="H177" s="33" t="str">
        <x:f>IF(B177="","",IF(C177="待补映射","未匹配商品",IF(D177&lt;=0,"数量异常",IF(E177&lt;=0,"单价异常",IF(COUNTIF($F$2:F177,F177)&gt;1,"订单号重复","")))))</x:f>
      </x:c>
      <x:c r="I177" s="30" t="n">
        <x:f>IF(OR(B177="",H177&lt;&gt;""),0,D177)</x:f>
        <x:v>0</x:v>
      </x:c>
      <x:c r="J177" s="30" t="n">
        <x:f>IF(OR(B177="",H177&lt;&gt;""),0,G177)</x:f>
        <x:v>0</x:v>
      </x:c>
      <x:c r="K177" s="29" t="n">
        <x:f>IF(B177="",0,IF(H177="",0,1))</x:f>
        <x:v>0</x:v>
      </x:c>
    </x:row>
    <x:row r="178">
      <x:c r="A178" s="32"/>
      <x:c r="B178" s="16"/>
      <x:c r="C178" s="33" t="str">
        <x:f>IFERROR(VLOOKUP(B178,'商品映射'!$A$2:$B$50,2,FALSE),"待补映射")</x:f>
      </x:c>
      <x:c r="D178" s="34"/>
      <x:c r="E178" s="35"/>
      <x:c r="F178" s="16"/>
      <x:c r="G178" s="36" t="n">
        <x:f>IF(OR(D178&lt;=0,E178&lt;=0),0,D178*E178)</x:f>
        <x:v>0</x:v>
      </x:c>
      <x:c r="H178" s="33" t="str">
        <x:f>IF(B178="","",IF(C178="待补映射","未匹配商品",IF(D178&lt;=0,"数量异常",IF(E178&lt;=0,"单价异常",IF(COUNTIF($F$2:F178,F178)&gt;1,"订单号重复","")))))</x:f>
      </x:c>
      <x:c r="I178" s="30" t="n">
        <x:f>IF(OR(B178="",H178&lt;&gt;""),0,D178)</x:f>
        <x:v>0</x:v>
      </x:c>
      <x:c r="J178" s="30" t="n">
        <x:f>IF(OR(B178="",H178&lt;&gt;""),0,G178)</x:f>
        <x:v>0</x:v>
      </x:c>
      <x:c r="K178" s="29" t="n">
        <x:f>IF(B178="",0,IF(H178="",0,1))</x:f>
        <x:v>0</x:v>
      </x:c>
    </x:row>
    <x:row r="179">
      <x:c r="A179" s="32"/>
      <x:c r="B179" s="16"/>
      <x:c r="C179" s="33" t="str">
        <x:f>IFERROR(VLOOKUP(B179,'商品映射'!$A$2:$B$50,2,FALSE),"待补映射")</x:f>
      </x:c>
      <x:c r="D179" s="34"/>
      <x:c r="E179" s="35"/>
      <x:c r="F179" s="16"/>
      <x:c r="G179" s="36" t="n">
        <x:f>IF(OR(D179&lt;=0,E179&lt;=0),0,D179*E179)</x:f>
        <x:v>0</x:v>
      </x:c>
      <x:c r="H179" s="33" t="str">
        <x:f>IF(B179="","",IF(C179="待补映射","未匹配商品",IF(D179&lt;=0,"数量异常",IF(E179&lt;=0,"单价异常",IF(COUNTIF($F$2:F179,F179)&gt;1,"订单号重复","")))))</x:f>
      </x:c>
      <x:c r="I179" s="30" t="n">
        <x:f>IF(OR(B179="",H179&lt;&gt;""),0,D179)</x:f>
        <x:v>0</x:v>
      </x:c>
      <x:c r="J179" s="30" t="n">
        <x:f>IF(OR(B179="",H179&lt;&gt;""),0,G179)</x:f>
        <x:v>0</x:v>
      </x:c>
      <x:c r="K179" s="29" t="n">
        <x:f>IF(B179="",0,IF(H179="",0,1))</x:f>
        <x:v>0</x:v>
      </x:c>
    </x:row>
    <x:row r="180">
      <x:c r="A180" s="32"/>
      <x:c r="B180" s="16"/>
      <x:c r="C180" s="33" t="str">
        <x:f>IFERROR(VLOOKUP(B180,'商品映射'!$A$2:$B$50,2,FALSE),"待补映射")</x:f>
      </x:c>
      <x:c r="D180" s="34"/>
      <x:c r="E180" s="35"/>
      <x:c r="F180" s="16"/>
      <x:c r="G180" s="36" t="n">
        <x:f>IF(OR(D180&lt;=0,E180&lt;=0),0,D180*E180)</x:f>
        <x:v>0</x:v>
      </x:c>
      <x:c r="H180" s="33" t="str">
        <x:f>IF(B180="","",IF(C180="待补映射","未匹配商品",IF(D180&lt;=0,"数量异常",IF(E180&lt;=0,"单价异常",IF(COUNTIF($F$2:F180,F180)&gt;1,"订单号重复","")))))</x:f>
      </x:c>
      <x:c r="I180" s="30" t="n">
        <x:f>IF(OR(B180="",H180&lt;&gt;""),0,D180)</x:f>
        <x:v>0</x:v>
      </x:c>
      <x:c r="J180" s="30" t="n">
        <x:f>IF(OR(B180="",H180&lt;&gt;""),0,G180)</x:f>
        <x:v>0</x:v>
      </x:c>
      <x:c r="K180" s="29" t="n">
        <x:f>IF(B180="",0,IF(H180="",0,1))</x:f>
        <x:v>0</x:v>
      </x:c>
    </x:row>
    <x:row r="181">
      <x:c r="A181" s="32"/>
      <x:c r="B181" s="16"/>
      <x:c r="C181" s="33" t="str">
        <x:f>IFERROR(VLOOKUP(B181,'商品映射'!$A$2:$B$50,2,FALSE),"待补映射")</x:f>
      </x:c>
      <x:c r="D181" s="34"/>
      <x:c r="E181" s="35"/>
      <x:c r="F181" s="16"/>
      <x:c r="G181" s="36" t="n">
        <x:f>IF(OR(D181&lt;=0,E181&lt;=0),0,D181*E181)</x:f>
        <x:v>0</x:v>
      </x:c>
      <x:c r="H181" s="33" t="str">
        <x:f>IF(B181="","",IF(C181="待补映射","未匹配商品",IF(D181&lt;=0,"数量异常",IF(E181&lt;=0,"单价异常",IF(COUNTIF($F$2:F181,F181)&gt;1,"订单号重复","")))))</x:f>
      </x:c>
      <x:c r="I181" s="30" t="n">
        <x:f>IF(OR(B181="",H181&lt;&gt;""),0,D181)</x:f>
        <x:v>0</x:v>
      </x:c>
      <x:c r="J181" s="30" t="n">
        <x:f>IF(OR(B181="",H181&lt;&gt;""),0,G181)</x:f>
        <x:v>0</x:v>
      </x:c>
      <x:c r="K181" s="29" t="n">
        <x:f>IF(B181="",0,IF(H181="",0,1))</x:f>
        <x:v>0</x:v>
      </x:c>
    </x:row>
    <x:row r="182">
      <x:c r="A182" s="32"/>
      <x:c r="B182" s="16"/>
      <x:c r="C182" s="33" t="str">
        <x:f>IFERROR(VLOOKUP(B182,'商品映射'!$A$2:$B$50,2,FALSE),"待补映射")</x:f>
      </x:c>
      <x:c r="D182" s="34"/>
      <x:c r="E182" s="35"/>
      <x:c r="F182" s="16"/>
      <x:c r="G182" s="36" t="n">
        <x:f>IF(OR(D182&lt;=0,E182&lt;=0),0,D182*E182)</x:f>
        <x:v>0</x:v>
      </x:c>
      <x:c r="H182" s="33" t="str">
        <x:f>IF(B182="","",IF(C182="待补映射","未匹配商品",IF(D182&lt;=0,"数量异常",IF(E182&lt;=0,"单价异常",IF(COUNTIF($F$2:F182,F182)&gt;1,"订单号重复","")))))</x:f>
      </x:c>
      <x:c r="I182" s="30" t="n">
        <x:f>IF(OR(B182="",H182&lt;&gt;""),0,D182)</x:f>
        <x:v>0</x:v>
      </x:c>
      <x:c r="J182" s="30" t="n">
        <x:f>IF(OR(B182="",H182&lt;&gt;""),0,G182)</x:f>
        <x:v>0</x:v>
      </x:c>
      <x:c r="K182" s="29" t="n">
        <x:f>IF(B182="",0,IF(H182="",0,1))</x:f>
        <x:v>0</x:v>
      </x:c>
    </x:row>
    <x:row r="183">
      <x:c r="A183" s="32"/>
      <x:c r="B183" s="16"/>
      <x:c r="C183" s="33" t="str">
        <x:f>IFERROR(VLOOKUP(B183,'商品映射'!$A$2:$B$50,2,FALSE),"待补映射")</x:f>
      </x:c>
      <x:c r="D183" s="34"/>
      <x:c r="E183" s="35"/>
      <x:c r="F183" s="16"/>
      <x:c r="G183" s="36" t="n">
        <x:f>IF(OR(D183&lt;=0,E183&lt;=0),0,D183*E183)</x:f>
        <x:v>0</x:v>
      </x:c>
      <x:c r="H183" s="33" t="str">
        <x:f>IF(B183="","",IF(C183="待补映射","未匹配商品",IF(D183&lt;=0,"数量异常",IF(E183&lt;=0,"单价异常",IF(COUNTIF($F$2:F183,F183)&gt;1,"订单号重复","")))))</x:f>
      </x:c>
      <x:c r="I183" s="30" t="n">
        <x:f>IF(OR(B183="",H183&lt;&gt;""),0,D183)</x:f>
        <x:v>0</x:v>
      </x:c>
      <x:c r="J183" s="30" t="n">
        <x:f>IF(OR(B183="",H183&lt;&gt;""),0,G183)</x:f>
        <x:v>0</x:v>
      </x:c>
      <x:c r="K183" s="29" t="n">
        <x:f>IF(B183="",0,IF(H183="",0,1))</x:f>
        <x:v>0</x:v>
      </x:c>
    </x:row>
    <x:row r="184">
      <x:c r="A184" s="32"/>
      <x:c r="B184" s="16"/>
      <x:c r="C184" s="33" t="str">
        <x:f>IFERROR(VLOOKUP(B184,'商品映射'!$A$2:$B$50,2,FALSE),"待补映射")</x:f>
      </x:c>
      <x:c r="D184" s="34"/>
      <x:c r="E184" s="35"/>
      <x:c r="F184" s="16"/>
      <x:c r="G184" s="36" t="n">
        <x:f>IF(OR(D184&lt;=0,E184&lt;=0),0,D184*E184)</x:f>
        <x:v>0</x:v>
      </x:c>
      <x:c r="H184" s="33" t="str">
        <x:f>IF(B184="","",IF(C184="待补映射","未匹配商品",IF(D184&lt;=0,"数量异常",IF(E184&lt;=0,"单价异常",IF(COUNTIF($F$2:F184,F184)&gt;1,"订单号重复","")))))</x:f>
      </x:c>
      <x:c r="I184" s="30" t="n">
        <x:f>IF(OR(B184="",H184&lt;&gt;""),0,D184)</x:f>
        <x:v>0</x:v>
      </x:c>
      <x:c r="J184" s="30" t="n">
        <x:f>IF(OR(B184="",H184&lt;&gt;""),0,G184)</x:f>
        <x:v>0</x:v>
      </x:c>
      <x:c r="K184" s="29" t="n">
        <x:f>IF(B184="",0,IF(H184="",0,1))</x:f>
        <x:v>0</x:v>
      </x:c>
    </x:row>
    <x:row r="185">
      <x:c r="A185" s="32"/>
      <x:c r="B185" s="16"/>
      <x:c r="C185" s="33" t="str">
        <x:f>IFERROR(VLOOKUP(B185,'商品映射'!$A$2:$B$50,2,FALSE),"待补映射")</x:f>
      </x:c>
      <x:c r="D185" s="34"/>
      <x:c r="E185" s="35"/>
      <x:c r="F185" s="16"/>
      <x:c r="G185" s="36" t="n">
        <x:f>IF(OR(D185&lt;=0,E185&lt;=0),0,D185*E185)</x:f>
        <x:v>0</x:v>
      </x:c>
      <x:c r="H185" s="33" t="str">
        <x:f>IF(B185="","",IF(C185="待补映射","未匹配商品",IF(D185&lt;=0,"数量异常",IF(E185&lt;=0,"单价异常",IF(COUNTIF($F$2:F185,F185)&gt;1,"订单号重复","")))))</x:f>
      </x:c>
      <x:c r="I185" s="30" t="n">
        <x:f>IF(OR(B185="",H185&lt;&gt;""),0,D185)</x:f>
        <x:v>0</x:v>
      </x:c>
      <x:c r="J185" s="30" t="n">
        <x:f>IF(OR(B185="",H185&lt;&gt;""),0,G185)</x:f>
        <x:v>0</x:v>
      </x:c>
      <x:c r="K185" s="29" t="n">
        <x:f>IF(B185="",0,IF(H185="",0,1))</x:f>
        <x:v>0</x:v>
      </x:c>
    </x:row>
    <x:row r="186">
      <x:c r="A186" s="32"/>
      <x:c r="B186" s="16"/>
      <x:c r="C186" s="33" t="str">
        <x:f>IFERROR(VLOOKUP(B186,'商品映射'!$A$2:$B$50,2,FALSE),"待补映射")</x:f>
      </x:c>
      <x:c r="D186" s="34"/>
      <x:c r="E186" s="35"/>
      <x:c r="F186" s="16"/>
      <x:c r="G186" s="36" t="n">
        <x:f>IF(OR(D186&lt;=0,E186&lt;=0),0,D186*E186)</x:f>
        <x:v>0</x:v>
      </x:c>
      <x:c r="H186" s="33" t="str">
        <x:f>IF(B186="","",IF(C186="待补映射","未匹配商品",IF(D186&lt;=0,"数量异常",IF(E186&lt;=0,"单价异常",IF(COUNTIF($F$2:F186,F186)&gt;1,"订单号重复","")))))</x:f>
      </x:c>
      <x:c r="I186" s="30" t="n">
        <x:f>IF(OR(B186="",H186&lt;&gt;""),0,D186)</x:f>
        <x:v>0</x:v>
      </x:c>
      <x:c r="J186" s="30" t="n">
        <x:f>IF(OR(B186="",H186&lt;&gt;""),0,G186)</x:f>
        <x:v>0</x:v>
      </x:c>
      <x:c r="K186" s="29" t="n">
        <x:f>IF(B186="",0,IF(H186="",0,1))</x:f>
        <x:v>0</x:v>
      </x:c>
    </x:row>
    <x:row r="187">
      <x:c r="A187" s="32"/>
      <x:c r="B187" s="16"/>
      <x:c r="C187" s="33" t="str">
        <x:f>IFERROR(VLOOKUP(B187,'商品映射'!$A$2:$B$50,2,FALSE),"待补映射")</x:f>
      </x:c>
      <x:c r="D187" s="34"/>
      <x:c r="E187" s="35"/>
      <x:c r="F187" s="16"/>
      <x:c r="G187" s="36" t="n">
        <x:f>IF(OR(D187&lt;=0,E187&lt;=0),0,D187*E187)</x:f>
        <x:v>0</x:v>
      </x:c>
      <x:c r="H187" s="33" t="str">
        <x:f>IF(B187="","",IF(C187="待补映射","未匹配商品",IF(D187&lt;=0,"数量异常",IF(E187&lt;=0,"单价异常",IF(COUNTIF($F$2:F187,F187)&gt;1,"订单号重复","")))))</x:f>
      </x:c>
      <x:c r="I187" s="30" t="n">
        <x:f>IF(OR(B187="",H187&lt;&gt;""),0,D187)</x:f>
        <x:v>0</x:v>
      </x:c>
      <x:c r="J187" s="30" t="n">
        <x:f>IF(OR(B187="",H187&lt;&gt;""),0,G187)</x:f>
        <x:v>0</x:v>
      </x:c>
      <x:c r="K187" s="29" t="n">
        <x:f>IF(B187="",0,IF(H187="",0,1))</x:f>
        <x:v>0</x:v>
      </x:c>
    </x:row>
    <x:row r="188">
      <x:c r="A188" s="32"/>
      <x:c r="B188" s="16"/>
      <x:c r="C188" s="33" t="str">
        <x:f>IFERROR(VLOOKUP(B188,'商品映射'!$A$2:$B$50,2,FALSE),"待补映射")</x:f>
      </x:c>
      <x:c r="D188" s="34"/>
      <x:c r="E188" s="35"/>
      <x:c r="F188" s="16"/>
      <x:c r="G188" s="36" t="n">
        <x:f>IF(OR(D188&lt;=0,E188&lt;=0),0,D188*E188)</x:f>
        <x:v>0</x:v>
      </x:c>
      <x:c r="H188" s="33" t="str">
        <x:f>IF(B188="","",IF(C188="待补映射","未匹配商品",IF(D188&lt;=0,"数量异常",IF(E188&lt;=0,"单价异常",IF(COUNTIF($F$2:F188,F188)&gt;1,"订单号重复","")))))</x:f>
      </x:c>
      <x:c r="I188" s="30" t="n">
        <x:f>IF(OR(B188="",H188&lt;&gt;""),0,D188)</x:f>
        <x:v>0</x:v>
      </x:c>
      <x:c r="J188" s="30" t="n">
        <x:f>IF(OR(B188="",H188&lt;&gt;""),0,G188)</x:f>
        <x:v>0</x:v>
      </x:c>
      <x:c r="K188" s="29" t="n">
        <x:f>IF(B188="",0,IF(H188="",0,1))</x:f>
        <x:v>0</x:v>
      </x:c>
    </x:row>
    <x:row r="189">
      <x:c r="A189" s="32"/>
      <x:c r="B189" s="16"/>
      <x:c r="C189" s="33" t="str">
        <x:f>IFERROR(VLOOKUP(B189,'商品映射'!$A$2:$B$50,2,FALSE),"待补映射")</x:f>
      </x:c>
      <x:c r="D189" s="34"/>
      <x:c r="E189" s="35"/>
      <x:c r="F189" s="16"/>
      <x:c r="G189" s="36" t="n">
        <x:f>IF(OR(D189&lt;=0,E189&lt;=0),0,D189*E189)</x:f>
        <x:v>0</x:v>
      </x:c>
      <x:c r="H189" s="33" t="str">
        <x:f>IF(B189="","",IF(C189="待补映射","未匹配商品",IF(D189&lt;=0,"数量异常",IF(E189&lt;=0,"单价异常",IF(COUNTIF($F$2:F189,F189)&gt;1,"订单号重复","")))))</x:f>
      </x:c>
      <x:c r="I189" s="30" t="n">
        <x:f>IF(OR(B189="",H189&lt;&gt;""),0,D189)</x:f>
        <x:v>0</x:v>
      </x:c>
      <x:c r="J189" s="30" t="n">
        <x:f>IF(OR(B189="",H189&lt;&gt;""),0,G189)</x:f>
        <x:v>0</x:v>
      </x:c>
      <x:c r="K189" s="29" t="n">
        <x:f>IF(B189="",0,IF(H189="",0,1))</x:f>
        <x:v>0</x:v>
      </x:c>
    </x:row>
    <x:row r="190">
      <x:c r="A190" s="32"/>
      <x:c r="B190" s="16"/>
      <x:c r="C190" s="33" t="str">
        <x:f>IFERROR(VLOOKUP(B190,'商品映射'!$A$2:$B$50,2,FALSE),"待补映射")</x:f>
      </x:c>
      <x:c r="D190" s="34"/>
      <x:c r="E190" s="35"/>
      <x:c r="F190" s="16"/>
      <x:c r="G190" s="36" t="n">
        <x:f>IF(OR(D190&lt;=0,E190&lt;=0),0,D190*E190)</x:f>
        <x:v>0</x:v>
      </x:c>
      <x:c r="H190" s="33" t="str">
        <x:f>IF(B190="","",IF(C190="待补映射","未匹配商品",IF(D190&lt;=0,"数量异常",IF(E190&lt;=0,"单价异常",IF(COUNTIF($F$2:F190,F190)&gt;1,"订单号重复","")))))</x:f>
      </x:c>
      <x:c r="I190" s="30" t="n">
        <x:f>IF(OR(B190="",H190&lt;&gt;""),0,D190)</x:f>
        <x:v>0</x:v>
      </x:c>
      <x:c r="J190" s="30" t="n">
        <x:f>IF(OR(B190="",H190&lt;&gt;""),0,G190)</x:f>
        <x:v>0</x:v>
      </x:c>
      <x:c r="K190" s="29" t="n">
        <x:f>IF(B190="",0,IF(H190="",0,1))</x:f>
        <x:v>0</x:v>
      </x:c>
    </x:row>
    <x:row r="191">
      <x:c r="A191" s="32"/>
      <x:c r="B191" s="16"/>
      <x:c r="C191" s="33" t="str">
        <x:f>IFERROR(VLOOKUP(B191,'商品映射'!$A$2:$B$50,2,FALSE),"待补映射")</x:f>
      </x:c>
      <x:c r="D191" s="34"/>
      <x:c r="E191" s="35"/>
      <x:c r="F191" s="16"/>
      <x:c r="G191" s="36" t="n">
        <x:f>IF(OR(D191&lt;=0,E191&lt;=0),0,D191*E191)</x:f>
        <x:v>0</x:v>
      </x:c>
      <x:c r="H191" s="33" t="str">
        <x:f>IF(B191="","",IF(C191="待补映射","未匹配商品",IF(D191&lt;=0,"数量异常",IF(E191&lt;=0,"单价异常",IF(COUNTIF($F$2:F191,F191)&gt;1,"订单号重复","")))))</x:f>
      </x:c>
      <x:c r="I191" s="30" t="n">
        <x:f>IF(OR(B191="",H191&lt;&gt;""),0,D191)</x:f>
        <x:v>0</x:v>
      </x:c>
      <x:c r="J191" s="30" t="n">
        <x:f>IF(OR(B191="",H191&lt;&gt;""),0,G191)</x:f>
        <x:v>0</x:v>
      </x:c>
      <x:c r="K191" s="29" t="n">
        <x:f>IF(B191="",0,IF(H191="",0,1))</x:f>
        <x:v>0</x:v>
      </x:c>
    </x:row>
    <x:row r="192">
      <x:c r="A192" s="32"/>
      <x:c r="B192" s="16"/>
      <x:c r="C192" s="33" t="str">
        <x:f>IFERROR(VLOOKUP(B192,'商品映射'!$A$2:$B$50,2,FALSE),"待补映射")</x:f>
      </x:c>
      <x:c r="D192" s="34"/>
      <x:c r="E192" s="35"/>
      <x:c r="F192" s="16"/>
      <x:c r="G192" s="36" t="n">
        <x:f>IF(OR(D192&lt;=0,E192&lt;=0),0,D192*E192)</x:f>
        <x:v>0</x:v>
      </x:c>
      <x:c r="H192" s="33" t="str">
        <x:f>IF(B192="","",IF(C192="待补映射","未匹配商品",IF(D192&lt;=0,"数量异常",IF(E192&lt;=0,"单价异常",IF(COUNTIF($F$2:F192,F192)&gt;1,"订单号重复","")))))</x:f>
      </x:c>
      <x:c r="I192" s="30" t="n">
        <x:f>IF(OR(B192="",H192&lt;&gt;""),0,D192)</x:f>
        <x:v>0</x:v>
      </x:c>
      <x:c r="J192" s="30" t="n">
        <x:f>IF(OR(B192="",H192&lt;&gt;""),0,G192)</x:f>
        <x:v>0</x:v>
      </x:c>
      <x:c r="K192" s="29" t="n">
        <x:f>IF(B192="",0,IF(H192="",0,1))</x:f>
        <x:v>0</x:v>
      </x:c>
    </x:row>
    <x:row r="193">
      <x:c r="A193" s="32"/>
      <x:c r="B193" s="16"/>
      <x:c r="C193" s="33" t="str">
        <x:f>IFERROR(VLOOKUP(B193,'商品映射'!$A$2:$B$50,2,FALSE),"待补映射")</x:f>
      </x:c>
      <x:c r="D193" s="34"/>
      <x:c r="E193" s="35"/>
      <x:c r="F193" s="16"/>
      <x:c r="G193" s="36" t="n">
        <x:f>IF(OR(D193&lt;=0,E193&lt;=0),0,D193*E193)</x:f>
        <x:v>0</x:v>
      </x:c>
      <x:c r="H193" s="33" t="str">
        <x:f>IF(B193="","",IF(C193="待补映射","未匹配商品",IF(D193&lt;=0,"数量异常",IF(E193&lt;=0,"单价异常",IF(COUNTIF($F$2:F193,F193)&gt;1,"订单号重复","")))))</x:f>
      </x:c>
      <x:c r="I193" s="30" t="n">
        <x:f>IF(OR(B193="",H193&lt;&gt;""),0,D193)</x:f>
        <x:v>0</x:v>
      </x:c>
      <x:c r="J193" s="30" t="n">
        <x:f>IF(OR(B193="",H193&lt;&gt;""),0,G193)</x:f>
        <x:v>0</x:v>
      </x:c>
      <x:c r="K193" s="29" t="n">
        <x:f>IF(B193="",0,IF(H193="",0,1))</x:f>
        <x:v>0</x:v>
      </x:c>
    </x:row>
    <x:row r="194">
      <x:c r="A194" s="32"/>
      <x:c r="B194" s="16"/>
      <x:c r="C194" s="33" t="str">
        <x:f>IFERROR(VLOOKUP(B194,'商品映射'!$A$2:$B$50,2,FALSE),"待补映射")</x:f>
      </x:c>
      <x:c r="D194" s="34"/>
      <x:c r="E194" s="35"/>
      <x:c r="F194" s="16"/>
      <x:c r="G194" s="36" t="n">
        <x:f>IF(OR(D194&lt;=0,E194&lt;=0),0,D194*E194)</x:f>
        <x:v>0</x:v>
      </x:c>
      <x:c r="H194" s="33" t="str">
        <x:f>IF(B194="","",IF(C194="待补映射","未匹配商品",IF(D194&lt;=0,"数量异常",IF(E194&lt;=0,"单价异常",IF(COUNTIF($F$2:F194,F194)&gt;1,"订单号重复","")))))</x:f>
      </x:c>
      <x:c r="I194" s="30" t="n">
        <x:f>IF(OR(B194="",H194&lt;&gt;""),0,D194)</x:f>
        <x:v>0</x:v>
      </x:c>
      <x:c r="J194" s="30" t="n">
        <x:f>IF(OR(B194="",H194&lt;&gt;""),0,G194)</x:f>
        <x:v>0</x:v>
      </x:c>
      <x:c r="K194" s="29" t="n">
        <x:f>IF(B194="",0,IF(H194="",0,1))</x:f>
        <x:v>0</x:v>
      </x:c>
    </x:row>
    <x:row r="195">
      <x:c r="A195" s="32"/>
      <x:c r="B195" s="16"/>
      <x:c r="C195" s="33" t="str">
        <x:f>IFERROR(VLOOKUP(B195,'商品映射'!$A$2:$B$50,2,FALSE),"待补映射")</x:f>
      </x:c>
      <x:c r="D195" s="34"/>
      <x:c r="E195" s="35"/>
      <x:c r="F195" s="16"/>
      <x:c r="G195" s="36" t="n">
        <x:f>IF(OR(D195&lt;=0,E195&lt;=0),0,D195*E195)</x:f>
        <x:v>0</x:v>
      </x:c>
      <x:c r="H195" s="33" t="str">
        <x:f>IF(B195="","",IF(C195="待补映射","未匹配商品",IF(D195&lt;=0,"数量异常",IF(E195&lt;=0,"单价异常",IF(COUNTIF($F$2:F195,F195)&gt;1,"订单号重复","")))))</x:f>
      </x:c>
      <x:c r="I195" s="30" t="n">
        <x:f>IF(OR(B195="",H195&lt;&gt;""),0,D195)</x:f>
        <x:v>0</x:v>
      </x:c>
      <x:c r="J195" s="30" t="n">
        <x:f>IF(OR(B195="",H195&lt;&gt;""),0,G195)</x:f>
        <x:v>0</x:v>
      </x:c>
      <x:c r="K195" s="29" t="n">
        <x:f>IF(B195="",0,IF(H195="",0,1))</x:f>
        <x:v>0</x:v>
      </x:c>
    </x:row>
    <x:row r="196">
      <x:c r="A196" s="32"/>
      <x:c r="B196" s="16"/>
      <x:c r="C196" s="33" t="str">
        <x:f>IFERROR(VLOOKUP(B196,'商品映射'!$A$2:$B$50,2,FALSE),"待补映射")</x:f>
      </x:c>
      <x:c r="D196" s="34"/>
      <x:c r="E196" s="35"/>
      <x:c r="F196" s="16"/>
      <x:c r="G196" s="36" t="n">
        <x:f>IF(OR(D196&lt;=0,E196&lt;=0),0,D196*E196)</x:f>
        <x:v>0</x:v>
      </x:c>
      <x:c r="H196" s="33" t="str">
        <x:f>IF(B196="","",IF(C196="待补映射","未匹配商品",IF(D196&lt;=0,"数量异常",IF(E196&lt;=0,"单价异常",IF(COUNTIF($F$2:F196,F196)&gt;1,"订单号重复","")))))</x:f>
      </x:c>
      <x:c r="I196" s="30" t="n">
        <x:f>IF(OR(B196="",H196&lt;&gt;""),0,D196)</x:f>
        <x:v>0</x:v>
      </x:c>
      <x:c r="J196" s="30" t="n">
        <x:f>IF(OR(B196="",H196&lt;&gt;""),0,G196)</x:f>
        <x:v>0</x:v>
      </x:c>
      <x:c r="K196" s="29" t="n">
        <x:f>IF(B196="",0,IF(H196="",0,1))</x:f>
        <x:v>0</x:v>
      </x:c>
    </x:row>
    <x:row r="197">
      <x:c r="A197" s="32"/>
      <x:c r="B197" s="16"/>
      <x:c r="C197" s="33" t="str">
        <x:f>IFERROR(VLOOKUP(B197,'商品映射'!$A$2:$B$50,2,FALSE),"待补映射")</x:f>
      </x:c>
      <x:c r="D197" s="34"/>
      <x:c r="E197" s="35"/>
      <x:c r="F197" s="16"/>
      <x:c r="G197" s="36" t="n">
        <x:f>IF(OR(D197&lt;=0,E197&lt;=0),0,D197*E197)</x:f>
        <x:v>0</x:v>
      </x:c>
      <x:c r="H197" s="33" t="str">
        <x:f>IF(B197="","",IF(C197="待补映射","未匹配商品",IF(D197&lt;=0,"数量异常",IF(E197&lt;=0,"单价异常",IF(COUNTIF($F$2:F197,F197)&gt;1,"订单号重复","")))))</x:f>
      </x:c>
      <x:c r="I197" s="30" t="n">
        <x:f>IF(OR(B197="",H197&lt;&gt;""),0,D197)</x:f>
        <x:v>0</x:v>
      </x:c>
      <x:c r="J197" s="30" t="n">
        <x:f>IF(OR(B197="",H197&lt;&gt;""),0,G197)</x:f>
        <x:v>0</x:v>
      </x:c>
      <x:c r="K197" s="29" t="n">
        <x:f>IF(B197="",0,IF(H197="",0,1))</x:f>
        <x:v>0</x:v>
      </x:c>
    </x:row>
    <x:row r="198">
      <x:c r="A198" s="32"/>
      <x:c r="B198" s="16"/>
      <x:c r="C198" s="33" t="str">
        <x:f>IFERROR(VLOOKUP(B198,'商品映射'!$A$2:$B$50,2,FALSE),"待补映射")</x:f>
      </x:c>
      <x:c r="D198" s="34"/>
      <x:c r="E198" s="35"/>
      <x:c r="F198" s="16"/>
      <x:c r="G198" s="36" t="n">
        <x:f>IF(OR(D198&lt;=0,E198&lt;=0),0,D198*E198)</x:f>
        <x:v>0</x:v>
      </x:c>
      <x:c r="H198" s="33" t="str">
        <x:f>IF(B198="","",IF(C198="待补映射","未匹配商品",IF(D198&lt;=0,"数量异常",IF(E198&lt;=0,"单价异常",IF(COUNTIF($F$2:F198,F198)&gt;1,"订单号重复","")))))</x:f>
      </x:c>
      <x:c r="I198" s="30" t="n">
        <x:f>IF(OR(B198="",H198&lt;&gt;""),0,D198)</x:f>
        <x:v>0</x:v>
      </x:c>
      <x:c r="J198" s="30" t="n">
        <x:f>IF(OR(B198="",H198&lt;&gt;""),0,G198)</x:f>
        <x:v>0</x:v>
      </x:c>
      <x:c r="K198" s="29" t="n">
        <x:f>IF(B198="",0,IF(H198="",0,1))</x:f>
        <x:v>0</x:v>
      </x:c>
    </x:row>
    <x:row r="199">
      <x:c r="A199" s="32"/>
      <x:c r="B199" s="16"/>
      <x:c r="C199" s="33" t="str">
        <x:f>IFERROR(VLOOKUP(B199,'商品映射'!$A$2:$B$50,2,FALSE),"待补映射")</x:f>
      </x:c>
      <x:c r="D199" s="34"/>
      <x:c r="E199" s="35"/>
      <x:c r="F199" s="16"/>
      <x:c r="G199" s="36" t="n">
        <x:f>IF(OR(D199&lt;=0,E199&lt;=0),0,D199*E199)</x:f>
        <x:v>0</x:v>
      </x:c>
      <x:c r="H199" s="33" t="str">
        <x:f>IF(B199="","",IF(C199="待补映射","未匹配商品",IF(D199&lt;=0,"数量异常",IF(E199&lt;=0,"单价异常",IF(COUNTIF($F$2:F199,F199)&gt;1,"订单号重复","")))))</x:f>
      </x:c>
      <x:c r="I199" s="30" t="n">
        <x:f>IF(OR(B199="",H199&lt;&gt;""),0,D199)</x:f>
        <x:v>0</x:v>
      </x:c>
      <x:c r="J199" s="30" t="n">
        <x:f>IF(OR(B199="",H199&lt;&gt;""),0,G199)</x:f>
        <x:v>0</x:v>
      </x:c>
      <x:c r="K199" s="29" t="n">
        <x:f>IF(B199="",0,IF(H199="",0,1))</x:f>
        <x:v>0</x:v>
      </x:c>
    </x:row>
    <x:row r="200">
      <x:c r="A200" s="37"/>
      <x:c r="B200" s="18"/>
      <x:c r="C200" s="38" t="str">
        <x:f>IFERROR(VLOOKUP(B200,'商品映射'!$A$2:$B$50,2,FALSE),"待补映射")</x:f>
      </x:c>
      <x:c r="D200" s="39"/>
      <x:c r="E200" s="40"/>
      <x:c r="F200" s="18"/>
      <x:c r="G200" s="41" t="n">
        <x:f>IF(OR(D200&lt;=0,E200&lt;=0),0,D200*E200)</x:f>
        <x:v>0</x:v>
      </x:c>
      <x:c r="H200" s="38" t="str">
        <x:f>IF(B200="","",IF(C200="待补映射","未匹配商品",IF(D200&lt;=0,"数量异常",IF(E200&lt;=0,"单价异常",IF(COUNTIF($F$2:F200,F200)&gt;1,"订单号重复","")))))</x:f>
      </x:c>
      <x:c r="I200" s="30" t="n">
        <x:f>IF(OR(B200="",H200&lt;&gt;""),0,D200)</x:f>
        <x:v>0</x:v>
      </x:c>
      <x:c r="J200" s="30" t="n">
        <x:f>IF(OR(B200="",H200&lt;&gt;""),0,G200)</x:f>
        <x:v>0</x:v>
      </x:c>
      <x:c r="K200" s="29" t="n">
        <x:f>IF(B200="",0,IF(H200="",0,1))</x:f>
        <x:v>0</x:v>
      </x:c>
    </x:row>
  </x:sheetData>
  <x:conditionalFormatting sqref="H2:H200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dab550ea0d3d43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8" hidden="0" customWidth="1"/>
  </x:cols>
  <x:sheetData>
    <x:row r="1">
      <x:c r="A1" s="15" t="str">
        <x:v>原始商品名</x:v>
      </x:c>
      <x:c r="B1" s="15" t="str">
        <x:v>标准商品名</x:v>
      </x:c>
      <x:c r="C1" s="15" t="str">
        <x:v>维护说明</x:v>
      </x:c>
    </x:row>
    <x:row r="2">
      <x:c r="A2" s="16" t="str">
        <x:v>柠檬茶500ml</x:v>
      </x:c>
      <x:c r="B2" s="16" t="str">
        <x:v>柠檬茶</x:v>
      </x:c>
      <x:c r="C2" s="17" t="str">
        <x:v>同品不同写法映射到同一名称</x:v>
      </x:c>
    </x:row>
    <x:row r="3">
      <x:c r="A3" s="16" t="str">
        <x:v>柠檬茶-大杯</x:v>
      </x:c>
      <x:c r="B3" s="16" t="str">
        <x:v>柠檬茶</x:v>
      </x:c>
      <x:c r="C3" s="17" t="str"/>
    </x:row>
    <x:row r="4">
      <x:c r="A4" s="16" t="str">
        <x:v>乌龙茶500ml</x:v>
      </x:c>
      <x:c r="B4" s="16" t="str">
        <x:v>乌龙茶</x:v>
      </x:c>
      <x:c r="C4" s="17" t="str"/>
    </x:row>
    <x:row r="5">
      <x:c r="A5" s="16" t="str">
        <x:v>乌龙茶 大杯</x:v>
      </x:c>
      <x:c r="B5" s="16" t="str">
        <x:v>乌龙茶</x:v>
      </x:c>
      <x:c r="C5" s="17" t="str"/>
    </x:row>
    <x:row r="6">
      <x:c r="A6" s="16" t="str">
        <x:v>美式咖啡</x:v>
      </x:c>
      <x:c r="B6" s="16" t="str">
        <x:v>美式咖啡</x:v>
      </x:c>
      <x:c r="C6" s="17" t="str"/>
    </x:row>
    <x:row r="7">
      <x:c r="A7" s="16" t="str">
        <x:v>冰美式</x:v>
      </x:c>
      <x:c r="B7" s="16" t="str">
        <x:v>美式咖啡</x:v>
      </x:c>
      <x:c r="C7" s="17" t="str"/>
    </x:row>
    <x:row r="8">
      <x:c r="A8" s="16" t="str">
        <x:v>拿铁</x:v>
      </x:c>
      <x:c r="B8" s="16" t="str">
        <x:v>拿铁</x:v>
      </x:c>
      <x:c r="C8" s="17" t="str"/>
    </x:row>
    <x:row r="9">
      <x:c r="A9" s="16"/>
      <x:c r="B9" s="16"/>
      <x:c r="C9" s="17"/>
    </x:row>
    <x:row r="10">
      <x:c r="A10" s="16"/>
      <x:c r="B10" s="16"/>
      <x:c r="C10" s="17"/>
    </x:row>
    <x:row r="11">
      <x:c r="A11" s="16"/>
      <x:c r="B11" s="16"/>
      <x:c r="C11" s="17"/>
    </x:row>
    <x:row r="12">
      <x:c r="A12" s="16"/>
      <x:c r="B12" s="16"/>
      <x:c r="C12" s="17"/>
    </x:row>
    <x:row r="13">
      <x:c r="A13" s="16"/>
      <x:c r="B13" s="16"/>
      <x:c r="C13" s="17"/>
    </x:row>
    <x:row r="14">
      <x:c r="A14" s="16"/>
      <x:c r="B14" s="16"/>
      <x:c r="C14" s="17"/>
    </x:row>
    <x:row r="15">
      <x:c r="A15" s="16"/>
      <x:c r="B15" s="16"/>
      <x:c r="C15" s="17"/>
    </x:row>
    <x:row r="16">
      <x:c r="A16" s="16"/>
      <x:c r="B16" s="16"/>
      <x:c r="C16" s="17"/>
    </x:row>
    <x:row r="17">
      <x:c r="A17" s="16"/>
      <x:c r="B17" s="16"/>
      <x:c r="C17" s="17"/>
    </x:row>
    <x:row r="18">
      <x:c r="A18" s="16"/>
      <x:c r="B18" s="16"/>
      <x:c r="C18" s="17"/>
    </x:row>
    <x:row r="19">
      <x:c r="A19" s="16"/>
      <x:c r="B19" s="16"/>
      <x:c r="C19" s="17"/>
    </x:row>
    <x:row r="20">
      <x:c r="A20" s="16"/>
      <x:c r="B20" s="16"/>
      <x:c r="C20" s="17"/>
    </x:row>
    <x:row r="21">
      <x:c r="A21" s="16"/>
      <x:c r="B21" s="16"/>
      <x:c r="C21" s="17"/>
    </x:row>
    <x:row r="22">
      <x:c r="A22" s="16"/>
      <x:c r="B22" s="16"/>
      <x:c r="C22" s="17"/>
    </x:row>
    <x:row r="23">
      <x:c r="A23" s="16"/>
      <x:c r="B23" s="16"/>
      <x:c r="C23" s="17"/>
    </x:row>
    <x:row r="24">
      <x:c r="A24" s="16"/>
      <x:c r="B24" s="16"/>
      <x:c r="C24" s="17"/>
    </x:row>
    <x:row r="25">
      <x:c r="A25" s="16"/>
      <x:c r="B25" s="16"/>
      <x:c r="C25" s="17"/>
    </x:row>
    <x:row r="26">
      <x:c r="A26" s="16"/>
      <x:c r="B26" s="16"/>
      <x:c r="C26" s="17"/>
    </x:row>
    <x:row r="27">
      <x:c r="A27" s="16"/>
      <x:c r="B27" s="16"/>
      <x:c r="C27" s="17"/>
    </x:row>
    <x:row r="28">
      <x:c r="A28" s="16"/>
      <x:c r="B28" s="16"/>
      <x:c r="C28" s="17"/>
    </x:row>
    <x:row r="29">
      <x:c r="A29" s="16"/>
      <x:c r="B29" s="16"/>
      <x:c r="C29" s="17"/>
    </x:row>
    <x:row r="30">
      <x:c r="A30" s="16"/>
      <x:c r="B30" s="16"/>
      <x:c r="C30" s="17"/>
    </x:row>
    <x:row r="31">
      <x:c r="A31" s="16"/>
      <x:c r="B31" s="16"/>
      <x:c r="C31" s="17"/>
    </x:row>
    <x:row r="32">
      <x:c r="A32" s="16"/>
      <x:c r="B32" s="16"/>
      <x:c r="C32" s="17"/>
    </x:row>
    <x:row r="33">
      <x:c r="A33" s="16"/>
      <x:c r="B33" s="16"/>
      <x:c r="C33" s="17"/>
    </x:row>
    <x:row r="34">
      <x:c r="A34" s="16"/>
      <x:c r="B34" s="16"/>
      <x:c r="C34" s="17"/>
    </x:row>
    <x:row r="35">
      <x:c r="A35" s="16"/>
      <x:c r="B35" s="16"/>
      <x:c r="C35" s="17"/>
    </x:row>
    <x:row r="36">
      <x:c r="A36" s="16"/>
      <x:c r="B36" s="16"/>
      <x:c r="C36" s="17"/>
    </x:row>
    <x:row r="37">
      <x:c r="A37" s="16"/>
      <x:c r="B37" s="16"/>
      <x:c r="C37" s="17"/>
    </x:row>
    <x:row r="38">
      <x:c r="A38" s="16"/>
      <x:c r="B38" s="16"/>
      <x:c r="C38" s="17"/>
    </x:row>
    <x:row r="39">
      <x:c r="A39" s="16"/>
      <x:c r="B39" s="16"/>
      <x:c r="C39" s="17"/>
    </x:row>
    <x:row r="40">
      <x:c r="A40" s="16"/>
      <x:c r="B40" s="16"/>
      <x:c r="C40" s="17"/>
    </x:row>
    <x:row r="41">
      <x:c r="A41" s="16"/>
      <x:c r="B41" s="16"/>
      <x:c r="C41" s="17"/>
    </x:row>
    <x:row r="42">
      <x:c r="A42" s="16"/>
      <x:c r="B42" s="16"/>
      <x:c r="C42" s="17"/>
    </x:row>
    <x:row r="43">
      <x:c r="A43" s="16"/>
      <x:c r="B43" s="16"/>
      <x:c r="C43" s="17"/>
    </x:row>
    <x:row r="44">
      <x:c r="A44" s="16"/>
      <x:c r="B44" s="16"/>
      <x:c r="C44" s="17"/>
    </x:row>
    <x:row r="45">
      <x:c r="A45" s="16"/>
      <x:c r="B45" s="16"/>
      <x:c r="C45" s="17"/>
    </x:row>
    <x:row r="46">
      <x:c r="A46" s="16"/>
      <x:c r="B46" s="16"/>
      <x:c r="C46" s="17"/>
    </x:row>
    <x:row r="47">
      <x:c r="A47" s="16"/>
      <x:c r="B47" s="16"/>
      <x:c r="C47" s="17"/>
    </x:row>
    <x:row r="48">
      <x:c r="A48" s="16"/>
      <x:c r="B48" s="16"/>
      <x:c r="C48" s="17"/>
    </x:row>
    <x:row r="49">
      <x:c r="A49" s="16"/>
      <x:c r="B49" s="16"/>
      <x:c r="C49" s="17"/>
    </x:row>
    <x:row r="50">
      <x:c r="A50" s="18"/>
      <x:c r="B50" s="18"/>
      <x:c r="C50" s="19"/>
    </x:row>
  </x:sheetData>
  <x:pageMargins left="0.7" right="0.7" top="0.75" bottom="0.75" header="0.3" footer="0.3"/>
  <x:tableParts count="1">
    <x:tablePart xmlns:r="http://schemas.openxmlformats.org/officeDocument/2006/relationships" r:id="R7461255a30814b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 t="str">
        <x:v>月度商品销售汇总｜合成演示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46" t="str">
        <x:v>有效销售额</x:v>
      </x:c>
      <x:c r="B4" s="47"/>
      <x:c r="C4" s="46" t="str">
        <x:v>有效销量</x:v>
      </x:c>
      <x:c r="D4" s="47"/>
      <x:c r="E4" s="46" t="str">
        <x:v>待处理异常</x:v>
      </x:c>
      <x:c r="F4" s="47"/>
      <x:c r="G4" s="46" t="str">
        <x:v>数据行数</x:v>
      </x:c>
      <x:c r="H4" s="47"/>
    </x:row>
    <x:row r="5">
      <x:c r="A5" s="50" t="n">
        <x:f>SUM('销售明细'!$J$2:$J$200)</x:f>
        <x:v>293</x:v>
      </x:c>
      <x:c r="B5" s="51"/>
      <x:c r="C5" s="48" t="n">
        <x:f>SUM('销售明细'!$I$2:$I$200)</x:f>
        <x:v>22</x:v>
      </x:c>
      <x:c r="D5" s="49"/>
      <x:c r="E5" s="48" t="n">
        <x:f>SUM('销售明细'!$K$2:$K$200)</x:f>
        <x:v>4</x:v>
      </x:c>
      <x:c r="F5" s="49"/>
      <x:c r="G5" s="48" t="n">
        <x:f>COUNTA('销售明细'!$A$2:$A$200)</x:f>
        <x:v>12</x:v>
      </x:c>
      <x:c r="H5" s="49"/>
    </x:row>
    <x:row r="8">
      <x:c r="A8" s="13" t="str">
        <x:v>标准商品</x:v>
      </x:c>
      <x:c r="B8" s="13" t="str">
        <x:v>销量</x:v>
      </x:c>
      <x:c r="C8" s="13" t="str">
        <x:v>销售额</x:v>
      </x:c>
      <x:c r="D8" s="13" t="str">
        <x:v>平均成交价</x:v>
      </x:c>
      <x:c r="E8" s="13" t="str">
        <x:v>销售占比</x:v>
      </x:c>
      <x:c r="G8" s="29" t="str">
        <x:v>标准商品</x:v>
      </x:c>
      <x:c r="H8" s="29" t="str">
        <x:v>销售额</x:v>
      </x:c>
    </x:row>
    <x:row r="9">
      <x:c r="A9" s="52" t="str">
        <x:v>柠檬茶</x:v>
      </x:c>
      <x:c r="B9" s="53" t="n">
        <x:f>SUMIF('销售明细'!$C$2:$C$200,A9,'销售明细'!$I$2:$I$200)</x:f>
        <x:v>10</x:v>
      </x:c>
      <x:c r="C9" s="55" t="n">
        <x:f>SUMIF('销售明细'!$C$2:$C$200,A9,'销售明细'!$J$2:$J$200)</x:f>
        <x:v>126</x:v>
      </x:c>
      <x:c r="D9" s="55" t="n">
        <x:f>IFERROR(C9/B9,0)</x:f>
        <x:v>12.6</x:v>
      </x:c>
      <x:c r="E9" s="57" t="n">
        <x:f>IFERROR(C9/$A$5,0)</x:f>
        <x:v>0.4300341296928328</x:v>
      </x:c>
      <x:c r="G9" s="29" t="str">
        <x:f>A9</x:f>
        <x:v>柠檬茶</x:v>
      </x:c>
      <x:c r="H9" s="59" t="n">
        <x:f>C9</x:f>
        <x:v>126</x:v>
      </x:c>
    </x:row>
    <x:row r="10">
      <x:c r="A10" s="17" t="str">
        <x:v>乌龙茶</x:v>
      </x:c>
      <x:c r="B10" s="54" t="n">
        <x:f>SUMIF('销售明细'!$C$2:$C$200,A10,'销售明细'!$I$2:$I$200)</x:f>
        <x:v>5</x:v>
      </x:c>
      <x:c r="C10" s="56" t="n">
        <x:f>SUMIF('销售明细'!$C$2:$C$200,A10,'销售明细'!$J$2:$J$200)</x:f>
        <x:v>53</x:v>
      </x:c>
      <x:c r="D10" s="56" t="n">
        <x:f>IFERROR(C10/B10,0)</x:f>
        <x:v>10.6</x:v>
      </x:c>
      <x:c r="E10" s="58" t="n">
        <x:f>IFERROR(C10/$A$5,0)</x:f>
        <x:v>0.18088737201365188</x:v>
      </x:c>
      <x:c r="G10" s="29" t="str">
        <x:f>A10</x:f>
        <x:v>乌龙茶</x:v>
      </x:c>
      <x:c r="H10" s="59" t="n">
        <x:f>C10</x:f>
        <x:v>53</x:v>
      </x:c>
    </x:row>
    <x:row r="11">
      <x:c r="A11" s="17" t="str">
        <x:v>美式咖啡</x:v>
      </x:c>
      <x:c r="B11" s="54" t="n">
        <x:f>SUMIF('销售明细'!$C$2:$C$200,A11,'销售明细'!$I$2:$I$200)</x:f>
        <x:v>5</x:v>
      </x:c>
      <x:c r="C11" s="56" t="n">
        <x:f>SUMIF('销售明细'!$C$2:$C$200,A11,'销售明细'!$J$2:$J$200)</x:f>
        <x:v>74</x:v>
      </x:c>
      <x:c r="D11" s="56" t="n">
        <x:f>IFERROR(C11/B11,0)</x:f>
        <x:v>14.8</x:v>
      </x:c>
      <x:c r="E11" s="58" t="n">
        <x:f>IFERROR(C11/$A$5,0)</x:f>
        <x:v>0.2525597269624573</x:v>
      </x:c>
      <x:c r="G11" s="29" t="str">
        <x:f>A11</x:f>
        <x:v>美式咖啡</x:v>
      </x:c>
      <x:c r="H11" s="59" t="n">
        <x:f>C11</x:f>
        <x:v>74</x:v>
      </x:c>
    </x:row>
    <x:row r="12">
      <x:c r="A12" s="17" t="str">
        <x:v>拿铁</x:v>
      </x:c>
      <x:c r="B12" s="54" t="n">
        <x:f>SUMIF('销售明细'!$C$2:$C$200,A12,'销售明细'!$I$2:$I$200)</x:f>
        <x:v>2</x:v>
      </x:c>
      <x:c r="C12" s="56" t="n">
        <x:f>SUMIF('销售明细'!$C$2:$C$200,A12,'销售明细'!$J$2:$J$200)</x:f>
        <x:v>40</x:v>
      </x:c>
      <x:c r="D12" s="56" t="n">
        <x:f>IFERROR(C12/B12,0)</x:f>
        <x:v>20</x:v>
      </x:c>
      <x:c r="E12" s="58" t="n">
        <x:f>IFERROR(C12/$A$5,0)</x:f>
        <x:v>0.13651877133105803</x:v>
      </x:c>
      <x:c r="G12" s="29" t="str">
        <x:f>A12</x:f>
        <x:v>拿铁</x:v>
      </x:c>
      <x:c r="H12" s="59" t="n">
        <x:f>C12</x:f>
        <x:v>40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4eaced58d4034ec6"/>
</x:worksheet>
</file>